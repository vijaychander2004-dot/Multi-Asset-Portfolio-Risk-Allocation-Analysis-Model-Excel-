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OneDrive\Desktop\"/>
    </mc:Choice>
  </mc:AlternateContent>
  <xr:revisionPtr revIDLastSave="0" documentId="13_ncr:1_{74D5E852-E97C-4109-B75B-B8734120FEA4}" xr6:coauthVersionLast="47" xr6:coauthVersionMax="47" xr10:uidLastSave="{00000000-0000-0000-0000-000000000000}"/>
  <bookViews>
    <workbookView minimized="1" xWindow="5400" yWindow="3360" windowWidth="17280" windowHeight="8880" activeTab="2" xr2:uid="{1E2A7A76-DF8A-4336-B378-339C2ADCAC6C}"/>
  </bookViews>
  <sheets>
    <sheet name="Brown Stocks" sheetId="1" r:id="rId1"/>
    <sheet name="Green Stocks" sheetId="2" r:id="rId2"/>
    <sheet name="Mix Stoc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80" i="3" l="1" a="1"/>
  <c r="AN80" i="3" s="1"/>
  <c r="AN76" i="3" a="1"/>
  <c r="AN76" i="3" s="1"/>
  <c r="AR90" i="3"/>
  <c r="AR91" i="3"/>
  <c r="AR92" i="3"/>
  <c r="AR93" i="3"/>
  <c r="AR89" i="3"/>
  <c r="AP96" i="3" s="1"/>
  <c r="AO23" i="3" a="1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5" i="3"/>
  <c r="AO44" i="3" s="1"/>
  <c r="AP70" i="3" s="1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5" i="3"/>
  <c r="P5" i="3" s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5" i="3"/>
  <c r="J5" i="3" s="1"/>
  <c r="C6" i="3"/>
  <c r="AO41" i="3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5" i="3"/>
  <c r="D5" i="3" s="1"/>
  <c r="S5" i="2"/>
  <c r="N7" i="2"/>
  <c r="N8" i="2"/>
  <c r="N9" i="2" s="1"/>
  <c r="N10" i="2" s="1"/>
  <c r="N11" i="2" s="1"/>
  <c r="N12" i="2" s="1"/>
  <c r="N5" i="2"/>
  <c r="I5" i="2"/>
  <c r="I6" i="2" s="1"/>
  <c r="I7" i="2" s="1"/>
  <c r="I8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5" i="2"/>
  <c r="D6" i="2" s="1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5" i="2"/>
  <c r="X5" i="2" s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5" i="2"/>
  <c r="M6" i="2"/>
  <c r="N6" i="2" s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5" i="2"/>
  <c r="N7" i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D7" i="1"/>
  <c r="D8" i="1"/>
  <c r="C6" i="1"/>
  <c r="C7" i="1"/>
  <c r="C8" i="1"/>
  <c r="C9" i="1"/>
  <c r="D9" i="1" s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5" i="1"/>
  <c r="D5" i="1" s="1"/>
  <c r="D6" i="1" s="1"/>
  <c r="H6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5" i="1"/>
  <c r="I5" i="1" s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5" i="1"/>
  <c r="N5" i="1" s="1"/>
  <c r="N6" i="1" s="1"/>
  <c r="R6" i="1"/>
  <c r="S6" i="1" s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5" i="1"/>
  <c r="S5" i="1" s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5" i="1"/>
  <c r="X5" i="1" s="1"/>
  <c r="AP67" i="3" l="1"/>
  <c r="AO42" i="3"/>
  <c r="AP68" i="3" s="1"/>
  <c r="AO43" i="3"/>
  <c r="AP69" i="3" s="1"/>
  <c r="AO23" i="3"/>
  <c r="AO31" i="3" s="1" a="1"/>
  <c r="AO31" i="3" s="1"/>
  <c r="D10" i="1"/>
  <c r="S7" i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X6" i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6" i="2"/>
  <c r="Z5" i="2"/>
  <c r="AA5" i="2" s="1"/>
  <c r="I9" i="2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N13" i="2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S6" i="2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W128" i="3"/>
  <c r="J6" i="3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AA252" i="3"/>
  <c r="AC148" i="3" s="1"/>
  <c r="P6" i="3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P152" i="3" s="1"/>
  <c r="P153" i="3" s="1"/>
  <c r="P154" i="3" s="1"/>
  <c r="P155" i="3" s="1"/>
  <c r="P156" i="3" s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P183" i="3" s="1"/>
  <c r="P184" i="3" s="1"/>
  <c r="P185" i="3" s="1"/>
  <c r="P186" i="3" s="1"/>
  <c r="P187" i="3" s="1"/>
  <c r="P188" i="3" s="1"/>
  <c r="P189" i="3" s="1"/>
  <c r="P190" i="3" s="1"/>
  <c r="P191" i="3" s="1"/>
  <c r="P192" i="3" s="1"/>
  <c r="P193" i="3" s="1"/>
  <c r="P194" i="3" s="1"/>
  <c r="P195" i="3" s="1"/>
  <c r="P196" i="3" s="1"/>
  <c r="P197" i="3" s="1"/>
  <c r="P198" i="3" s="1"/>
  <c r="P199" i="3" s="1"/>
  <c r="P200" i="3" s="1"/>
  <c r="P201" i="3" s="1"/>
  <c r="P202" i="3" s="1"/>
  <c r="P203" i="3" s="1"/>
  <c r="P204" i="3" s="1"/>
  <c r="P205" i="3" s="1"/>
  <c r="P206" i="3" s="1"/>
  <c r="P207" i="3" s="1"/>
  <c r="P208" i="3" s="1"/>
  <c r="P209" i="3" s="1"/>
  <c r="P210" i="3" s="1"/>
  <c r="P211" i="3" s="1"/>
  <c r="P212" i="3" s="1"/>
  <c r="P213" i="3" s="1"/>
  <c r="P214" i="3" s="1"/>
  <c r="P215" i="3" s="1"/>
  <c r="P216" i="3" s="1"/>
  <c r="P217" i="3" s="1"/>
  <c r="P218" i="3" s="1"/>
  <c r="P219" i="3" s="1"/>
  <c r="P220" i="3" s="1"/>
  <c r="P221" i="3" s="1"/>
  <c r="P222" i="3" s="1"/>
  <c r="P223" i="3" s="1"/>
  <c r="P224" i="3" s="1"/>
  <c r="P225" i="3" s="1"/>
  <c r="P226" i="3" s="1"/>
  <c r="P227" i="3" s="1"/>
  <c r="P228" i="3" s="1"/>
  <c r="P229" i="3" s="1"/>
  <c r="P230" i="3" s="1"/>
  <c r="P231" i="3" s="1"/>
  <c r="P232" i="3" s="1"/>
  <c r="P233" i="3" s="1"/>
  <c r="P234" i="3" s="1"/>
  <c r="P235" i="3" s="1"/>
  <c r="P236" i="3" s="1"/>
  <c r="P237" i="3" s="1"/>
  <c r="P238" i="3" s="1"/>
  <c r="P239" i="3" s="1"/>
  <c r="P240" i="3" s="1"/>
  <c r="P241" i="3" s="1"/>
  <c r="P242" i="3" s="1"/>
  <c r="P243" i="3" s="1"/>
  <c r="P244" i="3" s="1"/>
  <c r="P245" i="3" s="1"/>
  <c r="P246" i="3" s="1"/>
  <c r="P247" i="3" s="1"/>
  <c r="P248" i="3" s="1"/>
  <c r="P249" i="3" s="1"/>
  <c r="P250" i="3" s="1"/>
  <c r="AB5" i="3"/>
  <c r="AB6" i="3" s="1"/>
  <c r="C252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O252" i="3"/>
  <c r="Q244" i="3" s="1"/>
  <c r="V5" i="3"/>
  <c r="V6" i="3" s="1"/>
  <c r="V7" i="3" s="1"/>
  <c r="V8" i="3" s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V85" i="3" s="1"/>
  <c r="V86" i="3" s="1"/>
  <c r="V87" i="3" s="1"/>
  <c r="V88" i="3" s="1"/>
  <c r="V89" i="3" s="1"/>
  <c r="V90" i="3" s="1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V101" i="3" s="1"/>
  <c r="V102" i="3" s="1"/>
  <c r="V103" i="3" s="1"/>
  <c r="V104" i="3" s="1"/>
  <c r="V105" i="3" s="1"/>
  <c r="V106" i="3" s="1"/>
  <c r="V107" i="3" s="1"/>
  <c r="V108" i="3" s="1"/>
  <c r="V109" i="3" s="1"/>
  <c r="V110" i="3" s="1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V128" i="3" s="1"/>
  <c r="V129" i="3" s="1"/>
  <c r="V130" i="3" s="1"/>
  <c r="V131" i="3" s="1"/>
  <c r="V132" i="3" s="1"/>
  <c r="V133" i="3" s="1"/>
  <c r="V134" i="3" s="1"/>
  <c r="V135" i="3" s="1"/>
  <c r="V136" i="3" s="1"/>
  <c r="V137" i="3" s="1"/>
  <c r="V138" i="3" s="1"/>
  <c r="V139" i="3" s="1"/>
  <c r="V140" i="3" s="1"/>
  <c r="V141" i="3" s="1"/>
  <c r="V142" i="3" s="1"/>
  <c r="V143" i="3" s="1"/>
  <c r="V144" i="3" s="1"/>
  <c r="V145" i="3" s="1"/>
  <c r="V146" i="3" s="1"/>
  <c r="V147" i="3" s="1"/>
  <c r="V148" i="3" s="1"/>
  <c r="V149" i="3" s="1"/>
  <c r="V150" i="3" s="1"/>
  <c r="V151" i="3" s="1"/>
  <c r="V152" i="3" s="1"/>
  <c r="V153" i="3" s="1"/>
  <c r="V154" i="3" s="1"/>
  <c r="V155" i="3" s="1"/>
  <c r="V156" i="3" s="1"/>
  <c r="V157" i="3" s="1"/>
  <c r="V158" i="3" s="1"/>
  <c r="V159" i="3" s="1"/>
  <c r="V160" i="3" s="1"/>
  <c r="V161" i="3" s="1"/>
  <c r="V162" i="3" s="1"/>
  <c r="V163" i="3" s="1"/>
  <c r="V164" i="3" s="1"/>
  <c r="V165" i="3" s="1"/>
  <c r="V166" i="3" s="1"/>
  <c r="V167" i="3" s="1"/>
  <c r="V168" i="3" s="1"/>
  <c r="V169" i="3" s="1"/>
  <c r="V170" i="3" s="1"/>
  <c r="V171" i="3" s="1"/>
  <c r="V172" i="3" s="1"/>
  <c r="V173" i="3" s="1"/>
  <c r="V174" i="3" s="1"/>
  <c r="V175" i="3" s="1"/>
  <c r="V176" i="3" s="1"/>
  <c r="V177" i="3" s="1"/>
  <c r="V178" i="3" s="1"/>
  <c r="V179" i="3" s="1"/>
  <c r="V180" i="3" s="1"/>
  <c r="V181" i="3" s="1"/>
  <c r="V182" i="3" s="1"/>
  <c r="V183" i="3" s="1"/>
  <c r="V184" i="3" s="1"/>
  <c r="V185" i="3" s="1"/>
  <c r="V186" i="3" s="1"/>
  <c r="V187" i="3" s="1"/>
  <c r="V188" i="3" s="1"/>
  <c r="V189" i="3" s="1"/>
  <c r="V190" i="3" s="1"/>
  <c r="V191" i="3" s="1"/>
  <c r="V192" i="3" s="1"/>
  <c r="V193" i="3" s="1"/>
  <c r="V194" i="3" s="1"/>
  <c r="V195" i="3" s="1"/>
  <c r="V196" i="3" s="1"/>
  <c r="V197" i="3" s="1"/>
  <c r="V198" i="3" s="1"/>
  <c r="V199" i="3" s="1"/>
  <c r="V200" i="3" s="1"/>
  <c r="V201" i="3" s="1"/>
  <c r="V202" i="3" s="1"/>
  <c r="V203" i="3" s="1"/>
  <c r="V204" i="3" s="1"/>
  <c r="V205" i="3" s="1"/>
  <c r="V206" i="3" s="1"/>
  <c r="V207" i="3" s="1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V243" i="3" s="1"/>
  <c r="V244" i="3" s="1"/>
  <c r="V245" i="3" s="1"/>
  <c r="V246" i="3" s="1"/>
  <c r="V247" i="3" s="1"/>
  <c r="V248" i="3" s="1"/>
  <c r="V249" i="3" s="1"/>
  <c r="V250" i="3" s="1"/>
  <c r="U252" i="3"/>
  <c r="W152" i="3" s="1"/>
  <c r="I252" i="3"/>
  <c r="K249" i="3" s="1"/>
  <c r="Z5" i="1"/>
  <c r="AA5" i="1" s="1"/>
  <c r="W231" i="3" l="1"/>
  <c r="AO45" i="3"/>
  <c r="AP71" i="3" s="1"/>
  <c r="E60" i="3"/>
  <c r="AC110" i="3"/>
  <c r="W138" i="3"/>
  <c r="W12" i="3"/>
  <c r="W202" i="3"/>
  <c r="W92" i="3"/>
  <c r="W108" i="3"/>
  <c r="W95" i="3"/>
  <c r="W111" i="3"/>
  <c r="W127" i="3"/>
  <c r="AC137" i="3"/>
  <c r="AC105" i="3"/>
  <c r="K89" i="3"/>
  <c r="Z6" i="1"/>
  <c r="AA6" i="1" s="1"/>
  <c r="Z8" i="1"/>
  <c r="Z9" i="1"/>
  <c r="AA9" i="1" s="1"/>
  <c r="D11" i="1"/>
  <c r="Z10" i="1"/>
  <c r="AA10" i="1" s="1"/>
  <c r="Z7" i="1"/>
  <c r="AA7" i="1" s="1"/>
  <c r="Z6" i="2"/>
  <c r="AA6" i="2" s="1"/>
  <c r="X7" i="2"/>
  <c r="E82" i="3"/>
  <c r="E179" i="3"/>
  <c r="E195" i="3"/>
  <c r="E227" i="3"/>
  <c r="E57" i="3"/>
  <c r="AC221" i="3"/>
  <c r="AC237" i="3"/>
  <c r="AC150" i="3"/>
  <c r="AC166" i="3"/>
  <c r="E136" i="3"/>
  <c r="E186" i="3"/>
  <c r="E216" i="3"/>
  <c r="E218" i="3"/>
  <c r="W144" i="3"/>
  <c r="W59" i="3"/>
  <c r="E234" i="3"/>
  <c r="W160" i="3"/>
  <c r="W107" i="3"/>
  <c r="K65" i="3"/>
  <c r="K148" i="3"/>
  <c r="W171" i="3"/>
  <c r="W30" i="3"/>
  <c r="E222" i="3"/>
  <c r="K119" i="3"/>
  <c r="W46" i="3"/>
  <c r="E238" i="3"/>
  <c r="E161" i="3"/>
  <c r="W124" i="3"/>
  <c r="Q40" i="3"/>
  <c r="Q71" i="3"/>
  <c r="Q132" i="3"/>
  <c r="Q230" i="3"/>
  <c r="Q150" i="3"/>
  <c r="Q137" i="3"/>
  <c r="Q22" i="3"/>
  <c r="Q246" i="3"/>
  <c r="Q121" i="3"/>
  <c r="Q214" i="3"/>
  <c r="Q179" i="3"/>
  <c r="Q238" i="3"/>
  <c r="Q198" i="3"/>
  <c r="Q163" i="3"/>
  <c r="Q206" i="3"/>
  <c r="Q182" i="3"/>
  <c r="Q243" i="3"/>
  <c r="Q237" i="3"/>
  <c r="Q234" i="3"/>
  <c r="Q101" i="3"/>
  <c r="Q221" i="3"/>
  <c r="Q170" i="3"/>
  <c r="Q216" i="3"/>
  <c r="Q119" i="3"/>
  <c r="Q69" i="3"/>
  <c r="Q241" i="3"/>
  <c r="Q189" i="3"/>
  <c r="Q154" i="3"/>
  <c r="Q200" i="3"/>
  <c r="Q103" i="3"/>
  <c r="Q53" i="3"/>
  <c r="Q173" i="3"/>
  <c r="Q138" i="3"/>
  <c r="Q184" i="3"/>
  <c r="Q87" i="3"/>
  <c r="Q141" i="3"/>
  <c r="Q168" i="3"/>
  <c r="Q55" i="3"/>
  <c r="Q78" i="3"/>
  <c r="Q104" i="3"/>
  <c r="Q120" i="3"/>
  <c r="Q164" i="3"/>
  <c r="Q136" i="3"/>
  <c r="Q212" i="3"/>
  <c r="E211" i="3"/>
  <c r="E105" i="3"/>
  <c r="E169" i="3"/>
  <c r="E86" i="3"/>
  <c r="E21" i="3"/>
  <c r="E134" i="3"/>
  <c r="E12" i="3"/>
  <c r="E198" i="3"/>
  <c r="E217" i="3"/>
  <c r="E166" i="3"/>
  <c r="E155" i="3"/>
  <c r="E92" i="3"/>
  <c r="AC250" i="3"/>
  <c r="E214" i="3"/>
  <c r="E233" i="3"/>
  <c r="E187" i="3"/>
  <c r="E48" i="3"/>
  <c r="E14" i="3"/>
  <c r="E77" i="3"/>
  <c r="E7" i="3"/>
  <c r="E219" i="3"/>
  <c r="E128" i="3"/>
  <c r="E30" i="3"/>
  <c r="E173" i="3"/>
  <c r="AC48" i="3"/>
  <c r="E235" i="3"/>
  <c r="E158" i="3"/>
  <c r="E18" i="3"/>
  <c r="E23" i="3"/>
  <c r="E80" i="3"/>
  <c r="AC112" i="3"/>
  <c r="AC164" i="3"/>
  <c r="E174" i="3"/>
  <c r="E39" i="3"/>
  <c r="E112" i="3"/>
  <c r="E58" i="3"/>
  <c r="E141" i="3"/>
  <c r="E190" i="3"/>
  <c r="E19" i="3"/>
  <c r="E56" i="3"/>
  <c r="E144" i="3"/>
  <c r="E154" i="3"/>
  <c r="E157" i="3"/>
  <c r="E206" i="3"/>
  <c r="E99" i="3"/>
  <c r="E72" i="3"/>
  <c r="E160" i="3"/>
  <c r="E170" i="3"/>
  <c r="W62" i="3"/>
  <c r="AC182" i="3"/>
  <c r="AC153" i="3"/>
  <c r="AC63" i="3"/>
  <c r="AC34" i="3"/>
  <c r="AC160" i="3"/>
  <c r="AC198" i="3"/>
  <c r="AC79" i="3"/>
  <c r="AC82" i="3"/>
  <c r="AC214" i="3"/>
  <c r="AC185" i="3"/>
  <c r="AC143" i="3"/>
  <c r="AC33" i="3"/>
  <c r="AC50" i="3"/>
  <c r="AC230" i="3"/>
  <c r="AC249" i="3"/>
  <c r="AC14" i="3"/>
  <c r="AC146" i="3"/>
  <c r="AC239" i="3"/>
  <c r="AC97" i="3"/>
  <c r="AC42" i="3"/>
  <c r="AC47" i="3"/>
  <c r="AC35" i="3"/>
  <c r="AC62" i="3"/>
  <c r="AC106" i="3"/>
  <c r="AC51" i="3"/>
  <c r="AC67" i="3"/>
  <c r="AC78" i="3"/>
  <c r="AC159" i="3"/>
  <c r="AC147" i="3"/>
  <c r="AC179" i="3"/>
  <c r="AC126" i="3"/>
  <c r="AC56" i="3"/>
  <c r="AC191" i="3"/>
  <c r="AC49" i="3"/>
  <c r="AC163" i="3"/>
  <c r="AC20" i="3"/>
  <c r="AC211" i="3"/>
  <c r="AC8" i="3"/>
  <c r="W24" i="3"/>
  <c r="AC104" i="3"/>
  <c r="AC43" i="3"/>
  <c r="AC223" i="3"/>
  <c r="AC113" i="3"/>
  <c r="AC195" i="3"/>
  <c r="AC52" i="3"/>
  <c r="AC58" i="3"/>
  <c r="AC38" i="3"/>
  <c r="Q186" i="3"/>
  <c r="AC152" i="3"/>
  <c r="Q18" i="3"/>
  <c r="W10" i="3"/>
  <c r="E73" i="3"/>
  <c r="K198" i="3"/>
  <c r="E83" i="3"/>
  <c r="E87" i="3"/>
  <c r="AC225" i="3"/>
  <c r="E90" i="3"/>
  <c r="Q7" i="3"/>
  <c r="AC116" i="3"/>
  <c r="E28" i="3"/>
  <c r="AC180" i="3"/>
  <c r="AC118" i="3"/>
  <c r="Q202" i="3"/>
  <c r="AC9" i="3"/>
  <c r="AC170" i="3"/>
  <c r="AC44" i="3"/>
  <c r="Q82" i="3"/>
  <c r="K62" i="3"/>
  <c r="E89" i="3"/>
  <c r="E32" i="3"/>
  <c r="E131" i="3"/>
  <c r="E167" i="3"/>
  <c r="K47" i="3"/>
  <c r="E106" i="3"/>
  <c r="Q23" i="3"/>
  <c r="AC132" i="3"/>
  <c r="E44" i="3"/>
  <c r="AC212" i="3"/>
  <c r="AC169" i="3"/>
  <c r="AC18" i="3"/>
  <c r="AC171" i="3"/>
  <c r="AC98" i="3"/>
  <c r="AC187" i="3"/>
  <c r="AC207" i="3"/>
  <c r="AC81" i="3"/>
  <c r="AC15" i="3"/>
  <c r="AC19" i="3"/>
  <c r="AC246" i="3"/>
  <c r="AC203" i="3"/>
  <c r="AC46" i="3"/>
  <c r="AC210" i="3"/>
  <c r="AC5" i="3"/>
  <c r="AC111" i="3"/>
  <c r="AC6" i="3"/>
  <c r="AC120" i="3"/>
  <c r="AC26" i="3"/>
  <c r="W88" i="3"/>
  <c r="AC144" i="3"/>
  <c r="AC184" i="3"/>
  <c r="AC107" i="3"/>
  <c r="AC161" i="3"/>
  <c r="AC227" i="3"/>
  <c r="AC84" i="3"/>
  <c r="K146" i="3"/>
  <c r="AC36" i="3"/>
  <c r="AC22" i="3"/>
  <c r="AC136" i="3"/>
  <c r="AC208" i="3"/>
  <c r="AC248" i="3"/>
  <c r="AC193" i="3"/>
  <c r="AC243" i="3"/>
  <c r="AC100" i="3"/>
  <c r="AC68" i="3"/>
  <c r="AC154" i="3"/>
  <c r="AC134" i="3"/>
  <c r="Q218" i="3"/>
  <c r="AC57" i="3"/>
  <c r="AC186" i="3"/>
  <c r="AC220" i="3"/>
  <c r="E118" i="3"/>
  <c r="E40" i="3"/>
  <c r="E137" i="3"/>
  <c r="E64" i="3"/>
  <c r="E163" i="3"/>
  <c r="AC16" i="3"/>
  <c r="E9" i="3"/>
  <c r="E138" i="3"/>
  <c r="Q39" i="3"/>
  <c r="K165" i="3"/>
  <c r="K149" i="3"/>
  <c r="K234" i="3"/>
  <c r="K10" i="3"/>
  <c r="K187" i="3"/>
  <c r="K245" i="3"/>
  <c r="K51" i="3"/>
  <c r="K90" i="3"/>
  <c r="K53" i="3"/>
  <c r="K91" i="3"/>
  <c r="K170" i="3"/>
  <c r="K227" i="3"/>
  <c r="K133" i="3"/>
  <c r="K171" i="3"/>
  <c r="K229" i="3"/>
  <c r="K195" i="3"/>
  <c r="K197" i="3"/>
  <c r="K42" i="3"/>
  <c r="K67" i="3"/>
  <c r="K19" i="3"/>
  <c r="K43" i="3"/>
  <c r="K69" i="3"/>
  <c r="K122" i="3"/>
  <c r="K201" i="3"/>
  <c r="K21" i="3"/>
  <c r="K74" i="3"/>
  <c r="K99" i="3"/>
  <c r="K123" i="3"/>
  <c r="K153" i="3"/>
  <c r="K202" i="3"/>
  <c r="K22" i="3"/>
  <c r="K75" i="3"/>
  <c r="K101" i="3"/>
  <c r="K154" i="3"/>
  <c r="K203" i="3"/>
  <c r="K231" i="3"/>
  <c r="K23" i="3"/>
  <c r="K76" i="3"/>
  <c r="K102" i="3"/>
  <c r="K155" i="3"/>
  <c r="K204" i="3"/>
  <c r="K232" i="3"/>
  <c r="K24" i="3"/>
  <c r="K77" i="3"/>
  <c r="K103" i="3"/>
  <c r="K156" i="3"/>
  <c r="K179" i="3"/>
  <c r="K205" i="3"/>
  <c r="K235" i="3"/>
  <c r="K25" i="3"/>
  <c r="K55" i="3"/>
  <c r="K78" i="3"/>
  <c r="K104" i="3"/>
  <c r="K134" i="3"/>
  <c r="K157" i="3"/>
  <c r="K181" i="3"/>
  <c r="K236" i="3"/>
  <c r="K26" i="3"/>
  <c r="K56" i="3"/>
  <c r="K105" i="3"/>
  <c r="K135" i="3"/>
  <c r="K158" i="3"/>
  <c r="K184" i="3"/>
  <c r="K211" i="3"/>
  <c r="K237" i="3"/>
  <c r="K8" i="3"/>
  <c r="K85" i="3"/>
  <c r="K159" i="3"/>
  <c r="K219" i="3"/>
  <c r="K9" i="3"/>
  <c r="K86" i="3"/>
  <c r="K220" i="3"/>
  <c r="K27" i="3"/>
  <c r="K87" i="3"/>
  <c r="K238" i="3"/>
  <c r="K30" i="3"/>
  <c r="K88" i="3"/>
  <c r="K239" i="3"/>
  <c r="K35" i="3"/>
  <c r="K106" i="3"/>
  <c r="K163" i="3"/>
  <c r="K37" i="3"/>
  <c r="K107" i="3"/>
  <c r="K167" i="3"/>
  <c r="K38" i="3"/>
  <c r="K185" i="3"/>
  <c r="K39" i="3"/>
  <c r="K115" i="3"/>
  <c r="K186" i="3"/>
  <c r="K243" i="3"/>
  <c r="K57" i="3"/>
  <c r="K117" i="3"/>
  <c r="K191" i="3"/>
  <c r="K58" i="3"/>
  <c r="K118" i="3"/>
  <c r="K59" i="3"/>
  <c r="K136" i="3"/>
  <c r="K60" i="3"/>
  <c r="K137" i="3"/>
  <c r="K61" i="3"/>
  <c r="K138" i="3"/>
  <c r="K213" i="3"/>
  <c r="K139" i="3"/>
  <c r="K214" i="3"/>
  <c r="K6" i="3"/>
  <c r="K140" i="3"/>
  <c r="K215" i="3"/>
  <c r="K7" i="3"/>
  <c r="K83" i="3"/>
  <c r="K141" i="3"/>
  <c r="K218" i="3"/>
  <c r="K164" i="3"/>
  <c r="K169" i="3"/>
  <c r="K110" i="3"/>
  <c r="K230" i="3"/>
  <c r="K93" i="3"/>
  <c r="K95" i="3"/>
  <c r="K81" i="3"/>
  <c r="K178" i="3"/>
  <c r="K180" i="3"/>
  <c r="K72" i="3"/>
  <c r="K217" i="3"/>
  <c r="K13" i="3"/>
  <c r="K190" i="3"/>
  <c r="K246" i="3"/>
  <c r="K125" i="3"/>
  <c r="K143" i="3"/>
  <c r="K97" i="3"/>
  <c r="K210" i="3"/>
  <c r="W145" i="3"/>
  <c r="W129" i="3"/>
  <c r="W214" i="3"/>
  <c r="W113" i="3"/>
  <c r="W22" i="3"/>
  <c r="W86" i="3"/>
  <c r="W150" i="3"/>
  <c r="W23" i="3"/>
  <c r="W87" i="3"/>
  <c r="W151" i="3"/>
  <c r="W191" i="3"/>
  <c r="W47" i="3"/>
  <c r="W193" i="3"/>
  <c r="W49" i="3"/>
  <c r="W215" i="3"/>
  <c r="W54" i="3"/>
  <c r="W82" i="3"/>
  <c r="W114" i="3"/>
  <c r="W166" i="3"/>
  <c r="W55" i="3"/>
  <c r="W83" i="3"/>
  <c r="W115" i="3"/>
  <c r="W167" i="3"/>
  <c r="W198" i="3"/>
  <c r="W31" i="3"/>
  <c r="W84" i="3"/>
  <c r="W116" i="3"/>
  <c r="W199" i="3"/>
  <c r="W246" i="3"/>
  <c r="W33" i="3"/>
  <c r="W85" i="3"/>
  <c r="W117" i="3"/>
  <c r="W223" i="3"/>
  <c r="W6" i="3"/>
  <c r="W34" i="3"/>
  <c r="W118" i="3"/>
  <c r="W225" i="3"/>
  <c r="W7" i="3"/>
  <c r="W35" i="3"/>
  <c r="W119" i="3"/>
  <c r="W143" i="3"/>
  <c r="W175" i="3"/>
  <c r="W226" i="3"/>
  <c r="W36" i="3"/>
  <c r="W63" i="3"/>
  <c r="W120" i="3"/>
  <c r="W148" i="3"/>
  <c r="W177" i="3"/>
  <c r="W227" i="3"/>
  <c r="W37" i="3"/>
  <c r="W65" i="3"/>
  <c r="W97" i="3"/>
  <c r="W121" i="3"/>
  <c r="W149" i="3"/>
  <c r="W178" i="3"/>
  <c r="W228" i="3"/>
  <c r="W38" i="3"/>
  <c r="W70" i="3"/>
  <c r="W98" i="3"/>
  <c r="W122" i="3"/>
  <c r="W154" i="3"/>
  <c r="W182" i="3"/>
  <c r="W39" i="3"/>
  <c r="W71" i="3"/>
  <c r="W99" i="3"/>
  <c r="W123" i="3"/>
  <c r="W155" i="3"/>
  <c r="W183" i="3"/>
  <c r="W15" i="3"/>
  <c r="W79" i="3"/>
  <c r="W17" i="3"/>
  <c r="W81" i="3"/>
  <c r="W159" i="3"/>
  <c r="W18" i="3"/>
  <c r="W100" i="3"/>
  <c r="W161" i="3"/>
  <c r="W239" i="3"/>
  <c r="W19" i="3"/>
  <c r="W101" i="3"/>
  <c r="W165" i="3"/>
  <c r="W241" i="3"/>
  <c r="W20" i="3"/>
  <c r="W102" i="3"/>
  <c r="W184" i="3"/>
  <c r="W242" i="3"/>
  <c r="W21" i="3"/>
  <c r="W103" i="3"/>
  <c r="W185" i="3"/>
  <c r="W243" i="3"/>
  <c r="W40" i="3"/>
  <c r="W104" i="3"/>
  <c r="W186" i="3"/>
  <c r="W41" i="3"/>
  <c r="W105" i="3"/>
  <c r="W187" i="3"/>
  <c r="W50" i="3"/>
  <c r="W51" i="3"/>
  <c r="W52" i="3"/>
  <c r="W134" i="3"/>
  <c r="W207" i="3"/>
  <c r="W53" i="3"/>
  <c r="W135" i="3"/>
  <c r="W209" i="3"/>
  <c r="W72" i="3"/>
  <c r="W136" i="3"/>
  <c r="W216" i="3"/>
  <c r="W73" i="3"/>
  <c r="W137" i="3"/>
  <c r="W217" i="3"/>
  <c r="W74" i="3"/>
  <c r="W156" i="3"/>
  <c r="W218" i="3"/>
  <c r="W75" i="3"/>
  <c r="W157" i="3"/>
  <c r="W219" i="3"/>
  <c r="W176" i="3"/>
  <c r="K196" i="3"/>
  <c r="K152" i="3"/>
  <c r="K233" i="3"/>
  <c r="W247" i="3"/>
  <c r="W232" i="3"/>
  <c r="K29" i="3"/>
  <c r="W26" i="3"/>
  <c r="K206" i="3"/>
  <c r="W5" i="3"/>
  <c r="K173" i="3"/>
  <c r="K175" i="3"/>
  <c r="W140" i="3"/>
  <c r="K113" i="3"/>
  <c r="W78" i="3"/>
  <c r="K226" i="3"/>
  <c r="W188" i="3"/>
  <c r="W125" i="3"/>
  <c r="W192" i="3"/>
  <c r="K212" i="3"/>
  <c r="K168" i="3"/>
  <c r="W69" i="3"/>
  <c r="W248" i="3"/>
  <c r="K45" i="3"/>
  <c r="W42" i="3"/>
  <c r="W244" i="3"/>
  <c r="K221" i="3"/>
  <c r="K223" i="3"/>
  <c r="W172" i="3"/>
  <c r="K16" i="3"/>
  <c r="K129" i="3"/>
  <c r="W94" i="3"/>
  <c r="W189" i="3"/>
  <c r="W158" i="3"/>
  <c r="K131" i="3"/>
  <c r="W208" i="3"/>
  <c r="K228" i="3"/>
  <c r="K71" i="3"/>
  <c r="K200" i="3"/>
  <c r="W133" i="3"/>
  <c r="K11" i="3"/>
  <c r="K109" i="3"/>
  <c r="W106" i="3"/>
  <c r="W11" i="3"/>
  <c r="W204" i="3"/>
  <c r="K32" i="3"/>
  <c r="W13" i="3"/>
  <c r="K145" i="3"/>
  <c r="W110" i="3"/>
  <c r="W237" i="3"/>
  <c r="W238" i="3"/>
  <c r="K147" i="3"/>
  <c r="W224" i="3"/>
  <c r="K244" i="3"/>
  <c r="K151" i="3"/>
  <c r="W68" i="3"/>
  <c r="K216" i="3"/>
  <c r="W181" i="3"/>
  <c r="K189" i="3"/>
  <c r="W170" i="3"/>
  <c r="W66" i="3"/>
  <c r="K40" i="3"/>
  <c r="W56" i="3"/>
  <c r="K94" i="3"/>
  <c r="W91" i="3"/>
  <c r="W220" i="3"/>
  <c r="K48" i="3"/>
  <c r="W29" i="3"/>
  <c r="K177" i="3"/>
  <c r="W126" i="3"/>
  <c r="Q155" i="3"/>
  <c r="Q139" i="3"/>
  <c r="Q224" i="3"/>
  <c r="Q43" i="3"/>
  <c r="Q81" i="3"/>
  <c r="Q160" i="3"/>
  <c r="Q123" i="3"/>
  <c r="Q161" i="3"/>
  <c r="Q219" i="3"/>
  <c r="Q25" i="3"/>
  <c r="Q64" i="3"/>
  <c r="Q27" i="3"/>
  <c r="Q65" i="3"/>
  <c r="Q105" i="3"/>
  <c r="Q144" i="3"/>
  <c r="Q201" i="3"/>
  <c r="Q28" i="3"/>
  <c r="Q107" i="3"/>
  <c r="Q153" i="3"/>
  <c r="Q209" i="3"/>
  <c r="Q29" i="3"/>
  <c r="Q108" i="3"/>
  <c r="Q157" i="3"/>
  <c r="Q233" i="3"/>
  <c r="Q30" i="3"/>
  <c r="Q109" i="3"/>
  <c r="Q158" i="3"/>
  <c r="Q185" i="3"/>
  <c r="Q235" i="3"/>
  <c r="Q31" i="3"/>
  <c r="Q80" i="3"/>
  <c r="Q110" i="3"/>
  <c r="Q159" i="3"/>
  <c r="Q187" i="3"/>
  <c r="Q236" i="3"/>
  <c r="Q32" i="3"/>
  <c r="Q57" i="3"/>
  <c r="Q111" i="3"/>
  <c r="Q188" i="3"/>
  <c r="Q9" i="3"/>
  <c r="Q33" i="3"/>
  <c r="Q59" i="3"/>
  <c r="Q112" i="3"/>
  <c r="Q191" i="3"/>
  <c r="Q11" i="3"/>
  <c r="Q34" i="3"/>
  <c r="Q60" i="3"/>
  <c r="Q89" i="3"/>
  <c r="Q113" i="3"/>
  <c r="Q192" i="3"/>
  <c r="Q12" i="3"/>
  <c r="Q61" i="3"/>
  <c r="Q91" i="3"/>
  <c r="Q114" i="3"/>
  <c r="Q140" i="3"/>
  <c r="Q193" i="3"/>
  <c r="Q13" i="3"/>
  <c r="Q66" i="3"/>
  <c r="Q92" i="3"/>
  <c r="Q115" i="3"/>
  <c r="Q145" i="3"/>
  <c r="Q194" i="3"/>
  <c r="Q222" i="3"/>
  <c r="Q14" i="3"/>
  <c r="Q67" i="3"/>
  <c r="Q93" i="3"/>
  <c r="Q116" i="3"/>
  <c r="Q146" i="3"/>
  <c r="Q169" i="3"/>
  <c r="Q195" i="3"/>
  <c r="Q225" i="3"/>
  <c r="Q49" i="3"/>
  <c r="Q126" i="3"/>
  <c r="Q196" i="3"/>
  <c r="Q50" i="3"/>
  <c r="Q127" i="3"/>
  <c r="Q197" i="3"/>
  <c r="Q68" i="3"/>
  <c r="Q128" i="3"/>
  <c r="Q203" i="3"/>
  <c r="Q129" i="3"/>
  <c r="Q204" i="3"/>
  <c r="Q147" i="3"/>
  <c r="Q205" i="3"/>
  <c r="Q73" i="3"/>
  <c r="Q148" i="3"/>
  <c r="Q208" i="3"/>
  <c r="Q15" i="3"/>
  <c r="Q75" i="3"/>
  <c r="Q149" i="3"/>
  <c r="Q226" i="3"/>
  <c r="Q16" i="3"/>
  <c r="Q76" i="3"/>
  <c r="Q227" i="3"/>
  <c r="Q17" i="3"/>
  <c r="Q94" i="3"/>
  <c r="Q228" i="3"/>
  <c r="Q20" i="3"/>
  <c r="Q95" i="3"/>
  <c r="Q229" i="3"/>
  <c r="Q21" i="3"/>
  <c r="Q96" i="3"/>
  <c r="Q171" i="3"/>
  <c r="Q97" i="3"/>
  <c r="Q174" i="3"/>
  <c r="Q98" i="3"/>
  <c r="Q175" i="3"/>
  <c r="Q249" i="3"/>
  <c r="Q41" i="3"/>
  <c r="Q99" i="3"/>
  <c r="Q176" i="3"/>
  <c r="Q5" i="3"/>
  <c r="Q47" i="3"/>
  <c r="Q117" i="3"/>
  <c r="Q177" i="3"/>
  <c r="Q48" i="3"/>
  <c r="Q118" i="3"/>
  <c r="Q178" i="3"/>
  <c r="W240" i="3"/>
  <c r="Q250" i="3"/>
  <c r="K183" i="3"/>
  <c r="W132" i="3"/>
  <c r="K248" i="3"/>
  <c r="W197" i="3"/>
  <c r="Q162" i="3"/>
  <c r="W234" i="3"/>
  <c r="Q181" i="3"/>
  <c r="W194" i="3"/>
  <c r="K120" i="3"/>
  <c r="W168" i="3"/>
  <c r="K126" i="3"/>
  <c r="W139" i="3"/>
  <c r="W236" i="3"/>
  <c r="K80" i="3"/>
  <c r="W45" i="3"/>
  <c r="Q135" i="3"/>
  <c r="K209" i="3"/>
  <c r="W142" i="3"/>
  <c r="Q232" i="3"/>
  <c r="K64" i="3"/>
  <c r="Q151" i="3"/>
  <c r="Q72" i="3"/>
  <c r="Q10" i="3"/>
  <c r="K20" i="3"/>
  <c r="W67" i="3"/>
  <c r="K199" i="3"/>
  <c r="W164" i="3"/>
  <c r="W213" i="3"/>
  <c r="Q242" i="3"/>
  <c r="W9" i="3"/>
  <c r="W250" i="3"/>
  <c r="K15" i="3"/>
  <c r="W210" i="3"/>
  <c r="W200" i="3"/>
  <c r="K142" i="3"/>
  <c r="W203" i="3"/>
  <c r="Q6" i="3"/>
  <c r="K96" i="3"/>
  <c r="W61" i="3"/>
  <c r="Q167" i="3"/>
  <c r="K225" i="3"/>
  <c r="W174" i="3"/>
  <c r="Q248" i="3"/>
  <c r="K112" i="3"/>
  <c r="Q231" i="3"/>
  <c r="Q152" i="3"/>
  <c r="E175" i="3"/>
  <c r="E159" i="3"/>
  <c r="E244" i="3"/>
  <c r="E37" i="3"/>
  <c r="E116" i="3"/>
  <c r="E79" i="3"/>
  <c r="E117" i="3"/>
  <c r="E196" i="3"/>
  <c r="E20" i="3"/>
  <c r="E197" i="3"/>
  <c r="E61" i="3"/>
  <c r="E100" i="3"/>
  <c r="E52" i="3"/>
  <c r="E237" i="3"/>
  <c r="E29" i="3"/>
  <c r="E53" i="3"/>
  <c r="E132" i="3"/>
  <c r="E239" i="3"/>
  <c r="E31" i="3"/>
  <c r="E84" i="3"/>
  <c r="E109" i="3"/>
  <c r="E133" i="3"/>
  <c r="E212" i="3"/>
  <c r="E85" i="3"/>
  <c r="E111" i="3"/>
  <c r="E164" i="3"/>
  <c r="E213" i="3"/>
  <c r="E241" i="3"/>
  <c r="E33" i="3"/>
  <c r="E63" i="3"/>
  <c r="E165" i="3"/>
  <c r="E242" i="3"/>
  <c r="E34" i="3"/>
  <c r="E113" i="3"/>
  <c r="E143" i="3"/>
  <c r="E189" i="3"/>
  <c r="E245" i="3"/>
  <c r="E35" i="3"/>
  <c r="E65" i="3"/>
  <c r="E114" i="3"/>
  <c r="E191" i="3"/>
  <c r="E246" i="3"/>
  <c r="E36" i="3"/>
  <c r="E66" i="3"/>
  <c r="E115" i="3"/>
  <c r="E145" i="3"/>
  <c r="E194" i="3"/>
  <c r="E221" i="3"/>
  <c r="E247" i="3"/>
  <c r="E13" i="3"/>
  <c r="E67" i="3"/>
  <c r="E120" i="3"/>
  <c r="E146" i="3"/>
  <c r="E199" i="3"/>
  <c r="E223" i="3"/>
  <c r="E248" i="3"/>
  <c r="E15" i="3"/>
  <c r="E68" i="3"/>
  <c r="E93" i="3"/>
  <c r="E121" i="3"/>
  <c r="E147" i="3"/>
  <c r="E200" i="3"/>
  <c r="E249" i="3"/>
  <c r="E182" i="3"/>
  <c r="E49" i="3"/>
  <c r="E125" i="3"/>
  <c r="E183" i="3"/>
  <c r="E50" i="3"/>
  <c r="E127" i="3"/>
  <c r="E201" i="3"/>
  <c r="E51" i="3"/>
  <c r="E69" i="3"/>
  <c r="E129" i="3"/>
  <c r="E70" i="3"/>
  <c r="E130" i="3"/>
  <c r="E71" i="3"/>
  <c r="E148" i="3"/>
  <c r="E205" i="3"/>
  <c r="E149" i="3"/>
  <c r="E207" i="3"/>
  <c r="E16" i="3"/>
  <c r="E150" i="3"/>
  <c r="E225" i="3"/>
  <c r="E17" i="3"/>
  <c r="E151" i="3"/>
  <c r="E228" i="3"/>
  <c r="E24" i="3"/>
  <c r="E95" i="3"/>
  <c r="E152" i="3"/>
  <c r="E229" i="3"/>
  <c r="E25" i="3"/>
  <c r="E96" i="3"/>
  <c r="E153" i="3"/>
  <c r="E230" i="3"/>
  <c r="E101" i="3"/>
  <c r="E231" i="3"/>
  <c r="E102" i="3"/>
  <c r="E232" i="3"/>
  <c r="E45" i="3"/>
  <c r="E103" i="3"/>
  <c r="E180" i="3"/>
  <c r="E250" i="3"/>
  <c r="E47" i="3"/>
  <c r="E104" i="3"/>
  <c r="E181" i="3"/>
  <c r="E5" i="3"/>
  <c r="W16" i="3"/>
  <c r="Q26" i="3"/>
  <c r="K36" i="3"/>
  <c r="E46" i="3"/>
  <c r="W131" i="3"/>
  <c r="K247" i="3"/>
  <c r="W180" i="3"/>
  <c r="E98" i="3"/>
  <c r="W229" i="3"/>
  <c r="E243" i="3"/>
  <c r="K12" i="3"/>
  <c r="W25" i="3"/>
  <c r="E55" i="3"/>
  <c r="Q36" i="3"/>
  <c r="K31" i="3"/>
  <c r="Q44" i="3"/>
  <c r="E176" i="3"/>
  <c r="E162" i="3"/>
  <c r="Q130" i="3"/>
  <c r="W57" i="3"/>
  <c r="K174" i="3"/>
  <c r="W235" i="3"/>
  <c r="E185" i="3"/>
  <c r="Q38" i="3"/>
  <c r="K128" i="3"/>
  <c r="W77" i="3"/>
  <c r="Q183" i="3"/>
  <c r="E11" i="3"/>
  <c r="W190" i="3"/>
  <c r="K18" i="3"/>
  <c r="E108" i="3"/>
  <c r="K160" i="3"/>
  <c r="K161" i="3"/>
  <c r="K82" i="3"/>
  <c r="W32" i="3"/>
  <c r="Q42" i="3"/>
  <c r="K52" i="3"/>
  <c r="E62" i="3"/>
  <c r="W130" i="3"/>
  <c r="W147" i="3"/>
  <c r="E81" i="3"/>
  <c r="W196" i="3"/>
  <c r="E178" i="3"/>
  <c r="Q63" i="3"/>
  <c r="K28" i="3"/>
  <c r="W89" i="3"/>
  <c r="E119" i="3"/>
  <c r="Q52" i="3"/>
  <c r="K63" i="3"/>
  <c r="W28" i="3"/>
  <c r="Q124" i="3"/>
  <c r="E192" i="3"/>
  <c r="Q210" i="3"/>
  <c r="W169" i="3"/>
  <c r="K222" i="3"/>
  <c r="Q37" i="3"/>
  <c r="Q54" i="3"/>
  <c r="K144" i="3"/>
  <c r="W93" i="3"/>
  <c r="Q199" i="3"/>
  <c r="E43" i="3"/>
  <c r="W206" i="3"/>
  <c r="K34" i="3"/>
  <c r="E124" i="3"/>
  <c r="K192" i="3"/>
  <c r="K193" i="3"/>
  <c r="K162" i="3"/>
  <c r="W48" i="3"/>
  <c r="Q58" i="3"/>
  <c r="K68" i="3"/>
  <c r="E78" i="3"/>
  <c r="W146" i="3"/>
  <c r="W163" i="3"/>
  <c r="E97" i="3"/>
  <c r="W212" i="3"/>
  <c r="E210" i="3"/>
  <c r="Q143" i="3"/>
  <c r="K92" i="3"/>
  <c r="W153" i="3"/>
  <c r="E135" i="3"/>
  <c r="Q84" i="3"/>
  <c r="K79" i="3"/>
  <c r="W44" i="3"/>
  <c r="Q220" i="3"/>
  <c r="E208" i="3"/>
  <c r="K44" i="3"/>
  <c r="W201" i="3"/>
  <c r="E8" i="3"/>
  <c r="Q85" i="3"/>
  <c r="Q70" i="3"/>
  <c r="K176" i="3"/>
  <c r="W109" i="3"/>
  <c r="Q215" i="3"/>
  <c r="E59" i="3"/>
  <c r="W222" i="3"/>
  <c r="K50" i="3"/>
  <c r="E140" i="3"/>
  <c r="K240" i="3"/>
  <c r="K241" i="3"/>
  <c r="K194" i="3"/>
  <c r="AC7" i="3"/>
  <c r="AC23" i="3"/>
  <c r="AC39" i="3"/>
  <c r="AC55" i="3"/>
  <c r="AC71" i="3"/>
  <c r="AC87" i="3"/>
  <c r="AC103" i="3"/>
  <c r="AC119" i="3"/>
  <c r="AC135" i="3"/>
  <c r="AC204" i="3"/>
  <c r="AC28" i="3"/>
  <c r="AC188" i="3"/>
  <c r="AC205" i="3"/>
  <c r="AC76" i="3"/>
  <c r="AC12" i="3"/>
  <c r="AC77" i="3"/>
  <c r="AC101" i="3"/>
  <c r="AC124" i="3"/>
  <c r="AC13" i="3"/>
  <c r="AC125" i="3"/>
  <c r="AC165" i="3"/>
  <c r="AC189" i="3"/>
  <c r="AC229" i="3"/>
  <c r="AC167" i="3"/>
  <c r="AC231" i="3"/>
  <c r="AC72" i="3"/>
  <c r="AC216" i="3"/>
  <c r="AC73" i="3"/>
  <c r="AC217" i="3"/>
  <c r="AC74" i="3"/>
  <c r="AC108" i="3"/>
  <c r="AC133" i="3"/>
  <c r="AC218" i="3"/>
  <c r="AC245" i="3"/>
  <c r="AC75" i="3"/>
  <c r="AC109" i="3"/>
  <c r="AC138" i="3"/>
  <c r="AC219" i="3"/>
  <c r="AC247" i="3"/>
  <c r="AC139" i="3"/>
  <c r="AC168" i="3"/>
  <c r="AC140" i="3"/>
  <c r="AC172" i="3"/>
  <c r="AC21" i="3"/>
  <c r="AC85" i="3"/>
  <c r="AC141" i="3"/>
  <c r="AC173" i="3"/>
  <c r="AC197" i="3"/>
  <c r="AC24" i="3"/>
  <c r="AC88" i="3"/>
  <c r="AC142" i="3"/>
  <c r="AC174" i="3"/>
  <c r="AC199" i="3"/>
  <c r="AC25" i="3"/>
  <c r="AC59" i="3"/>
  <c r="AC89" i="3"/>
  <c r="AC175" i="3"/>
  <c r="AC200" i="3"/>
  <c r="AC232" i="3"/>
  <c r="AC29" i="3"/>
  <c r="AC60" i="3"/>
  <c r="AC90" i="3"/>
  <c r="AC176" i="3"/>
  <c r="AC201" i="3"/>
  <c r="AC233" i="3"/>
  <c r="AC30" i="3"/>
  <c r="AC95" i="3"/>
  <c r="AC31" i="3"/>
  <c r="AC96" i="3"/>
  <c r="AC121" i="3"/>
  <c r="AC181" i="3"/>
  <c r="AC37" i="3"/>
  <c r="AC122" i="3"/>
  <c r="AC183" i="3"/>
  <c r="AC40" i="3"/>
  <c r="AC127" i="3"/>
  <c r="AC202" i="3"/>
  <c r="AC41" i="3"/>
  <c r="AC128" i="3"/>
  <c r="AC206" i="3"/>
  <c r="AC61" i="3"/>
  <c r="AC129" i="3"/>
  <c r="AC65" i="3"/>
  <c r="AC130" i="3"/>
  <c r="AC66" i="3"/>
  <c r="AC149" i="3"/>
  <c r="AC213" i="3"/>
  <c r="AC151" i="3"/>
  <c r="AC215" i="3"/>
  <c r="AC155" i="3"/>
  <c r="AC234" i="3"/>
  <c r="AC69" i="3"/>
  <c r="AC156" i="3"/>
  <c r="AC235" i="3"/>
  <c r="AC91" i="3"/>
  <c r="AC157" i="3"/>
  <c r="AC236" i="3"/>
  <c r="AC92" i="3"/>
  <c r="AC158" i="3"/>
  <c r="AC240" i="3"/>
  <c r="AC93" i="3"/>
  <c r="AC177" i="3"/>
  <c r="AC241" i="3"/>
  <c r="AC94" i="3"/>
  <c r="AC178" i="3"/>
  <c r="AC242" i="3"/>
  <c r="AC54" i="3"/>
  <c r="W64" i="3"/>
  <c r="Q74" i="3"/>
  <c r="K84" i="3"/>
  <c r="E94" i="3"/>
  <c r="W162" i="3"/>
  <c r="W179" i="3"/>
  <c r="E177" i="3"/>
  <c r="Q46" i="3"/>
  <c r="E226" i="3"/>
  <c r="Q207" i="3"/>
  <c r="W230" i="3"/>
  <c r="AC190" i="3"/>
  <c r="K108" i="3"/>
  <c r="W233" i="3"/>
  <c r="E215" i="3"/>
  <c r="Q100" i="3"/>
  <c r="AC145" i="3"/>
  <c r="K111" i="3"/>
  <c r="W60" i="3"/>
  <c r="K54" i="3"/>
  <c r="E224" i="3"/>
  <c r="W245" i="3"/>
  <c r="K124" i="3"/>
  <c r="W249" i="3"/>
  <c r="AC192" i="3"/>
  <c r="E88" i="3"/>
  <c r="Q133" i="3"/>
  <c r="AC114" i="3"/>
  <c r="Q86" i="3"/>
  <c r="K208" i="3"/>
  <c r="AC83" i="3"/>
  <c r="W141" i="3"/>
  <c r="Q247" i="3"/>
  <c r="E91" i="3"/>
  <c r="AC196" i="3"/>
  <c r="Q8" i="3"/>
  <c r="K66" i="3"/>
  <c r="E156" i="3"/>
  <c r="E26" i="3"/>
  <c r="E27" i="3"/>
  <c r="K242" i="3"/>
  <c r="K5" i="3"/>
  <c r="AC70" i="3"/>
  <c r="W80" i="3"/>
  <c r="Q90" i="3"/>
  <c r="K100" i="3"/>
  <c r="E110" i="3"/>
  <c r="Q156" i="3"/>
  <c r="W211" i="3"/>
  <c r="E193" i="3"/>
  <c r="Q62" i="3"/>
  <c r="AC11" i="3"/>
  <c r="Q223" i="3"/>
  <c r="Q240" i="3"/>
  <c r="AC222" i="3"/>
  <c r="K188" i="3"/>
  <c r="Q19" i="3"/>
  <c r="AC32" i="3"/>
  <c r="Q180" i="3"/>
  <c r="AC209" i="3"/>
  <c r="K127" i="3"/>
  <c r="W76" i="3"/>
  <c r="K70" i="3"/>
  <c r="E240" i="3"/>
  <c r="Q79" i="3"/>
  <c r="K172" i="3"/>
  <c r="Q51" i="3"/>
  <c r="AC224" i="3"/>
  <c r="E168" i="3"/>
  <c r="Q165" i="3"/>
  <c r="AC162" i="3"/>
  <c r="Q102" i="3"/>
  <c r="K224" i="3"/>
  <c r="AC99" i="3"/>
  <c r="W173" i="3"/>
  <c r="K17" i="3"/>
  <c r="E107" i="3"/>
  <c r="AC228" i="3"/>
  <c r="Q24" i="3"/>
  <c r="K98" i="3"/>
  <c r="E188" i="3"/>
  <c r="E74" i="3"/>
  <c r="E75" i="3"/>
  <c r="E76" i="3"/>
  <c r="AC86" i="3"/>
  <c r="W96" i="3"/>
  <c r="Q106" i="3"/>
  <c r="K116" i="3"/>
  <c r="E126" i="3"/>
  <c r="Q172" i="3"/>
  <c r="Q45" i="3"/>
  <c r="E209" i="3"/>
  <c r="Q142" i="3"/>
  <c r="AC27" i="3"/>
  <c r="Q239" i="3"/>
  <c r="K250" i="3"/>
  <c r="AC238" i="3"/>
  <c r="E22" i="3"/>
  <c r="Q35" i="3"/>
  <c r="AC64" i="3"/>
  <c r="K14" i="3"/>
  <c r="W27" i="3"/>
  <c r="K207" i="3"/>
  <c r="AC53" i="3"/>
  <c r="K150" i="3"/>
  <c r="W195" i="3"/>
  <c r="K41" i="3"/>
  <c r="E6" i="3"/>
  <c r="Q131" i="3"/>
  <c r="W58" i="3"/>
  <c r="E184" i="3"/>
  <c r="Q213" i="3"/>
  <c r="AC194" i="3"/>
  <c r="Q134" i="3"/>
  <c r="E10" i="3"/>
  <c r="AC115" i="3"/>
  <c r="W205" i="3"/>
  <c r="K33" i="3"/>
  <c r="E123" i="3"/>
  <c r="AC244" i="3"/>
  <c r="Q56" i="3"/>
  <c r="K114" i="3"/>
  <c r="E220" i="3"/>
  <c r="E122" i="3"/>
  <c r="E171" i="3"/>
  <c r="E172" i="3"/>
  <c r="AC117" i="3"/>
  <c r="AC102" i="3"/>
  <c r="W112" i="3"/>
  <c r="Q122" i="3"/>
  <c r="K132" i="3"/>
  <c r="E142" i="3"/>
  <c r="K166" i="3"/>
  <c r="Q125" i="3"/>
  <c r="AC10" i="3"/>
  <c r="Q190" i="3"/>
  <c r="AC123" i="3"/>
  <c r="K73" i="3"/>
  <c r="AC45" i="3"/>
  <c r="W8" i="3"/>
  <c r="E38" i="3"/>
  <c r="Q83" i="3"/>
  <c r="AC80" i="3"/>
  <c r="K46" i="3"/>
  <c r="W43" i="3"/>
  <c r="E41" i="3"/>
  <c r="Q217" i="3"/>
  <c r="K182" i="3"/>
  <c r="Q77" i="3"/>
  <c r="K121" i="3"/>
  <c r="E54" i="3"/>
  <c r="Q211" i="3"/>
  <c r="W90" i="3"/>
  <c r="AC17" i="3"/>
  <c r="Q245" i="3"/>
  <c r="AC226" i="3"/>
  <c r="Q166" i="3"/>
  <c r="E42" i="3"/>
  <c r="AC131" i="3"/>
  <c r="W221" i="3"/>
  <c r="K49" i="3"/>
  <c r="E139" i="3"/>
  <c r="W14" i="3"/>
  <c r="Q88" i="3"/>
  <c r="K130" i="3"/>
  <c r="E236" i="3"/>
  <c r="E202" i="3"/>
  <c r="E203" i="3"/>
  <c r="E204" i="3"/>
  <c r="AE5" i="3"/>
  <c r="AF5" i="3" s="1"/>
  <c r="AB7" i="3"/>
  <c r="AE6" i="3"/>
  <c r="AR42" i="3" l="1" a="1"/>
  <c r="AR42" i="3" s="1"/>
  <c r="AO52" i="3" s="1" a="1"/>
  <c r="AR15" i="3"/>
  <c r="AQ15" i="3"/>
  <c r="AO15" i="3"/>
  <c r="AQ17" i="3"/>
  <c r="AP17" i="3"/>
  <c r="AO17" i="3"/>
  <c r="AS17" i="3"/>
  <c r="AO18" i="3"/>
  <c r="AR18" i="3"/>
  <c r="AQ18" i="3"/>
  <c r="AP18" i="3"/>
  <c r="AS14" i="3"/>
  <c r="AR14" i="3"/>
  <c r="AP14" i="3"/>
  <c r="AQ14" i="3"/>
  <c r="AS16" i="3"/>
  <c r="AR16" i="3"/>
  <c r="AP16" i="3"/>
  <c r="AO16" i="3"/>
  <c r="AS18" i="3"/>
  <c r="AO14" i="3"/>
  <c r="AQ16" i="3"/>
  <c r="AP15" i="3"/>
  <c r="AR17" i="3"/>
  <c r="D12" i="1"/>
  <c r="Z11" i="1"/>
  <c r="AA11" i="1" s="1"/>
  <c r="AA8" i="1"/>
  <c r="Z7" i="2"/>
  <c r="AA7" i="2" s="1"/>
  <c r="X8" i="2"/>
  <c r="AF6" i="3"/>
  <c r="AB8" i="3"/>
  <c r="AE7" i="3"/>
  <c r="AF7" i="3" s="1"/>
  <c r="AO52" i="3" l="1"/>
  <c r="D13" i="1"/>
  <c r="Z12" i="1"/>
  <c r="AA12" i="1" s="1"/>
  <c r="Z8" i="2"/>
  <c r="AA8" i="2" s="1"/>
  <c r="X9" i="2"/>
  <c r="AB9" i="3"/>
  <c r="AE8" i="3"/>
  <c r="AF8" i="3" s="1"/>
  <c r="AN83" i="3" l="1"/>
  <c r="AP97" i="3" s="1"/>
  <c r="D14" i="1"/>
  <c r="Z13" i="1"/>
  <c r="AA13" i="1" s="1"/>
  <c r="Z9" i="2"/>
  <c r="AA9" i="2" s="1"/>
  <c r="X10" i="2"/>
  <c r="AB10" i="3"/>
  <c r="AE9" i="3"/>
  <c r="AF9" i="3" s="1"/>
  <c r="D15" i="1" l="1"/>
  <c r="Z14" i="1"/>
  <c r="AA14" i="1" s="1"/>
  <c r="Z10" i="2"/>
  <c r="AA10" i="2" s="1"/>
  <c r="X11" i="2"/>
  <c r="AB11" i="3"/>
  <c r="AE10" i="3"/>
  <c r="AF10" i="3" s="1"/>
  <c r="D16" i="1" l="1"/>
  <c r="Z15" i="1"/>
  <c r="AA15" i="1" s="1"/>
  <c r="Z11" i="2"/>
  <c r="AA11" i="2" s="1"/>
  <c r="X12" i="2"/>
  <c r="AB12" i="3"/>
  <c r="AE11" i="3"/>
  <c r="AF11" i="3" s="1"/>
  <c r="D17" i="1" l="1"/>
  <c r="Z16" i="1"/>
  <c r="AA16" i="1" s="1"/>
  <c r="Z12" i="2"/>
  <c r="AA12" i="2" s="1"/>
  <c r="X13" i="2"/>
  <c r="AB13" i="3"/>
  <c r="AE12" i="3"/>
  <c r="AF12" i="3" s="1"/>
  <c r="D18" i="1" l="1"/>
  <c r="Z17" i="1"/>
  <c r="AA17" i="1" s="1"/>
  <c r="Z13" i="2"/>
  <c r="AA13" i="2" s="1"/>
  <c r="X14" i="2"/>
  <c r="AB14" i="3"/>
  <c r="AE13" i="3"/>
  <c r="AF13" i="3" s="1"/>
  <c r="D19" i="1" l="1"/>
  <c r="Z18" i="1"/>
  <c r="AA18" i="1" s="1"/>
  <c r="Z14" i="2"/>
  <c r="AA14" i="2" s="1"/>
  <c r="X15" i="2"/>
  <c r="AB15" i="3"/>
  <c r="AE14" i="3"/>
  <c r="AF14" i="3" s="1"/>
  <c r="D20" i="1" l="1"/>
  <c r="Z19" i="1"/>
  <c r="AA19" i="1" s="1"/>
  <c r="X16" i="2"/>
  <c r="Z15" i="2"/>
  <c r="AA15" i="2" s="1"/>
  <c r="AB16" i="3"/>
  <c r="AE15" i="3"/>
  <c r="AF15" i="3" s="1"/>
  <c r="D21" i="1" l="1"/>
  <c r="Z20" i="1"/>
  <c r="AA20" i="1" s="1"/>
  <c r="X17" i="2"/>
  <c r="Z16" i="2"/>
  <c r="AA16" i="2" s="1"/>
  <c r="AB17" i="3"/>
  <c r="AE16" i="3"/>
  <c r="AF16" i="3" s="1"/>
  <c r="D22" i="1" l="1"/>
  <c r="Z21" i="1"/>
  <c r="AA21" i="1" s="1"/>
  <c r="X18" i="2"/>
  <c r="Z17" i="2"/>
  <c r="AA17" i="2" s="1"/>
  <c r="AB18" i="3"/>
  <c r="AE17" i="3"/>
  <c r="AF17" i="3" s="1"/>
  <c r="D23" i="1" l="1"/>
  <c r="Z22" i="1"/>
  <c r="AA22" i="1" s="1"/>
  <c r="Z18" i="2"/>
  <c r="AA18" i="2" s="1"/>
  <c r="X19" i="2"/>
  <c r="AB19" i="3"/>
  <c r="AE18" i="3"/>
  <c r="AF18" i="3" s="1"/>
  <c r="D24" i="1" l="1"/>
  <c r="Z23" i="1"/>
  <c r="AA23" i="1" s="1"/>
  <c r="X20" i="2"/>
  <c r="Z19" i="2"/>
  <c r="AA19" i="2" s="1"/>
  <c r="AB20" i="3"/>
  <c r="AE19" i="3"/>
  <c r="AF19" i="3" s="1"/>
  <c r="D25" i="1" l="1"/>
  <c r="Z24" i="1"/>
  <c r="AA24" i="1" s="1"/>
  <c r="X21" i="2"/>
  <c r="Z20" i="2"/>
  <c r="AA20" i="2" s="1"/>
  <c r="AB21" i="3"/>
  <c r="AE20" i="3"/>
  <c r="AF20" i="3" s="1"/>
  <c r="D26" i="1" l="1"/>
  <c r="Z25" i="1"/>
  <c r="AA25" i="1" s="1"/>
  <c r="X22" i="2"/>
  <c r="Z21" i="2"/>
  <c r="AA21" i="2" s="1"/>
  <c r="AB22" i="3"/>
  <c r="AE21" i="3"/>
  <c r="AF21" i="3" s="1"/>
  <c r="D27" i="1" l="1"/>
  <c r="Z26" i="1"/>
  <c r="AA26" i="1" s="1"/>
  <c r="X23" i="2"/>
  <c r="Z22" i="2"/>
  <c r="AA22" i="2" s="1"/>
  <c r="AB23" i="3"/>
  <c r="AE22" i="3"/>
  <c r="AF22" i="3" s="1"/>
  <c r="D28" i="1" l="1"/>
  <c r="Z27" i="1"/>
  <c r="AA27" i="1" s="1"/>
  <c r="X24" i="2"/>
  <c r="Z23" i="2"/>
  <c r="AA23" i="2" s="1"/>
  <c r="AB24" i="3"/>
  <c r="AE23" i="3"/>
  <c r="AF23" i="3" s="1"/>
  <c r="D29" i="1" l="1"/>
  <c r="Z28" i="1"/>
  <c r="AA28" i="1" s="1"/>
  <c r="X25" i="2"/>
  <c r="Z24" i="2"/>
  <c r="AA24" i="2" s="1"/>
  <c r="AB25" i="3"/>
  <c r="AE24" i="3"/>
  <c r="AF24" i="3" s="1"/>
  <c r="D30" i="1" l="1"/>
  <c r="Z29" i="1"/>
  <c r="AA29" i="1" s="1"/>
  <c r="X26" i="2"/>
  <c r="Z25" i="2"/>
  <c r="AA25" i="2" s="1"/>
  <c r="AB26" i="3"/>
  <c r="AE25" i="3"/>
  <c r="AF25" i="3" s="1"/>
  <c r="D31" i="1" l="1"/>
  <c r="Z30" i="1"/>
  <c r="AA30" i="1" s="1"/>
  <c r="X27" i="2"/>
  <c r="Z26" i="2"/>
  <c r="AA26" i="2" s="1"/>
  <c r="AB27" i="3"/>
  <c r="AE26" i="3"/>
  <c r="AF26" i="3" s="1"/>
  <c r="D32" i="1" l="1"/>
  <c r="Z31" i="1"/>
  <c r="AA31" i="1" s="1"/>
  <c r="X28" i="2"/>
  <c r="Z27" i="2"/>
  <c r="AA27" i="2" s="1"/>
  <c r="AB28" i="3"/>
  <c r="AE27" i="3"/>
  <c r="AF27" i="3" s="1"/>
  <c r="D33" i="1" l="1"/>
  <c r="Z32" i="1"/>
  <c r="AA32" i="1" s="1"/>
  <c r="X29" i="2"/>
  <c r="Z28" i="2"/>
  <c r="AA28" i="2" s="1"/>
  <c r="AB29" i="3"/>
  <c r="AE28" i="3"/>
  <c r="AF28" i="3" s="1"/>
  <c r="D34" i="1" l="1"/>
  <c r="Z33" i="1"/>
  <c r="AA33" i="1" s="1"/>
  <c r="X30" i="2"/>
  <c r="Z29" i="2"/>
  <c r="AA29" i="2" s="1"/>
  <c r="AB30" i="3"/>
  <c r="AE29" i="3"/>
  <c r="AF29" i="3" s="1"/>
  <c r="D35" i="1" l="1"/>
  <c r="Z34" i="1"/>
  <c r="AA34" i="1" s="1"/>
  <c r="X31" i="2"/>
  <c r="Z30" i="2"/>
  <c r="AA30" i="2" s="1"/>
  <c r="AB31" i="3"/>
  <c r="AE30" i="3"/>
  <c r="AF30" i="3" s="1"/>
  <c r="D36" i="1" l="1"/>
  <c r="Z35" i="1"/>
  <c r="AA35" i="1" s="1"/>
  <c r="X32" i="2"/>
  <c r="Z31" i="2"/>
  <c r="AA31" i="2" s="1"/>
  <c r="AB32" i="3"/>
  <c r="AE31" i="3"/>
  <c r="AF31" i="3" s="1"/>
  <c r="D37" i="1" l="1"/>
  <c r="Z36" i="1"/>
  <c r="AA36" i="1" s="1"/>
  <c r="X33" i="2"/>
  <c r="Z32" i="2"/>
  <c r="AA32" i="2" s="1"/>
  <c r="AB33" i="3"/>
  <c r="AE32" i="3"/>
  <c r="AF32" i="3" s="1"/>
  <c r="D38" i="1" l="1"/>
  <c r="Z37" i="1"/>
  <c r="AA37" i="1" s="1"/>
  <c r="X34" i="2"/>
  <c r="Z33" i="2"/>
  <c r="AA33" i="2" s="1"/>
  <c r="AB34" i="3"/>
  <c r="AE33" i="3"/>
  <c r="AF33" i="3" s="1"/>
  <c r="D39" i="1" l="1"/>
  <c r="Z38" i="1"/>
  <c r="AA38" i="1" s="1"/>
  <c r="X35" i="2"/>
  <c r="Z34" i="2"/>
  <c r="AA34" i="2" s="1"/>
  <c r="AB35" i="3"/>
  <c r="AE34" i="3"/>
  <c r="AF34" i="3" s="1"/>
  <c r="D40" i="1" l="1"/>
  <c r="Z39" i="1"/>
  <c r="AA39" i="1" s="1"/>
  <c r="X36" i="2"/>
  <c r="Z35" i="2"/>
  <c r="AA35" i="2" s="1"/>
  <c r="AB36" i="3"/>
  <c r="AE35" i="3"/>
  <c r="AF35" i="3" s="1"/>
  <c r="D41" i="1" l="1"/>
  <c r="Z40" i="1"/>
  <c r="AA40" i="1" s="1"/>
  <c r="X37" i="2"/>
  <c r="Z36" i="2"/>
  <c r="AA36" i="2" s="1"/>
  <c r="AB37" i="3"/>
  <c r="AE36" i="3"/>
  <c r="AF36" i="3" s="1"/>
  <c r="D42" i="1" l="1"/>
  <c r="Z41" i="1"/>
  <c r="AA41" i="1" s="1"/>
  <c r="X38" i="2"/>
  <c r="Z37" i="2"/>
  <c r="AA37" i="2" s="1"/>
  <c r="AB38" i="3"/>
  <c r="AE37" i="3"/>
  <c r="AF37" i="3" s="1"/>
  <c r="D43" i="1" l="1"/>
  <c r="Z42" i="1"/>
  <c r="AA42" i="1" s="1"/>
  <c r="X39" i="2"/>
  <c r="Z38" i="2"/>
  <c r="AA38" i="2" s="1"/>
  <c r="AB39" i="3"/>
  <c r="AE38" i="3"/>
  <c r="AF38" i="3" s="1"/>
  <c r="D44" i="1" l="1"/>
  <c r="Z43" i="1"/>
  <c r="AA43" i="1" s="1"/>
  <c r="X40" i="2"/>
  <c r="Z39" i="2"/>
  <c r="AA39" i="2" s="1"/>
  <c r="AB40" i="3"/>
  <c r="AE39" i="3"/>
  <c r="AF39" i="3" s="1"/>
  <c r="D45" i="1" l="1"/>
  <c r="Z44" i="1"/>
  <c r="AA44" i="1" s="1"/>
  <c r="X41" i="2"/>
  <c r="Z40" i="2"/>
  <c r="AA40" i="2" s="1"/>
  <c r="AB41" i="3"/>
  <c r="AE40" i="3"/>
  <c r="AF40" i="3" s="1"/>
  <c r="D46" i="1" l="1"/>
  <c r="Z45" i="1"/>
  <c r="AA45" i="1" s="1"/>
  <c r="X42" i="2"/>
  <c r="Z41" i="2"/>
  <c r="AA41" i="2" s="1"/>
  <c r="AB42" i="3"/>
  <c r="AE41" i="3"/>
  <c r="AF41" i="3" s="1"/>
  <c r="D47" i="1" l="1"/>
  <c r="Z46" i="1"/>
  <c r="AA46" i="1" s="1"/>
  <c r="X43" i="2"/>
  <c r="Z42" i="2"/>
  <c r="AA42" i="2" s="1"/>
  <c r="AB43" i="3"/>
  <c r="AE42" i="3"/>
  <c r="AF42" i="3" s="1"/>
  <c r="D48" i="1" l="1"/>
  <c r="Z47" i="1"/>
  <c r="AA47" i="1" s="1"/>
  <c r="X44" i="2"/>
  <c r="Z43" i="2"/>
  <c r="AA43" i="2" s="1"/>
  <c r="AB44" i="3"/>
  <c r="AE43" i="3"/>
  <c r="AF43" i="3" s="1"/>
  <c r="D49" i="1" l="1"/>
  <c r="Z48" i="1"/>
  <c r="AA48" i="1" s="1"/>
  <c r="X45" i="2"/>
  <c r="Z44" i="2"/>
  <c r="AA44" i="2" s="1"/>
  <c r="AB45" i="3"/>
  <c r="AE44" i="3"/>
  <c r="AF44" i="3" s="1"/>
  <c r="D50" i="1" l="1"/>
  <c r="Z49" i="1"/>
  <c r="AA49" i="1" s="1"/>
  <c r="X46" i="2"/>
  <c r="Z45" i="2"/>
  <c r="AA45" i="2" s="1"/>
  <c r="AB46" i="3"/>
  <c r="AE45" i="3"/>
  <c r="AF45" i="3" s="1"/>
  <c r="D51" i="1" l="1"/>
  <c r="Z50" i="1"/>
  <c r="AA50" i="1" s="1"/>
  <c r="X47" i="2"/>
  <c r="Z46" i="2"/>
  <c r="AA46" i="2" s="1"/>
  <c r="AB47" i="3"/>
  <c r="AE46" i="3"/>
  <c r="AF46" i="3" s="1"/>
  <c r="D52" i="1" l="1"/>
  <c r="Z51" i="1"/>
  <c r="AA51" i="1" s="1"/>
  <c r="X48" i="2"/>
  <c r="Z47" i="2"/>
  <c r="AA47" i="2" s="1"/>
  <c r="AB48" i="3"/>
  <c r="AE47" i="3"/>
  <c r="AF47" i="3" s="1"/>
  <c r="D53" i="1" l="1"/>
  <c r="Z52" i="1"/>
  <c r="AA52" i="1" s="1"/>
  <c r="X49" i="2"/>
  <c r="Z48" i="2"/>
  <c r="AA48" i="2" s="1"/>
  <c r="AB49" i="3"/>
  <c r="AE48" i="3"/>
  <c r="AF48" i="3" s="1"/>
  <c r="D54" i="1" l="1"/>
  <c r="Z53" i="1"/>
  <c r="AA53" i="1" s="1"/>
  <c r="X50" i="2"/>
  <c r="Z49" i="2"/>
  <c r="AA49" i="2" s="1"/>
  <c r="AB50" i="3"/>
  <c r="AE49" i="3"/>
  <c r="AF49" i="3" s="1"/>
  <c r="D55" i="1" l="1"/>
  <c r="Z54" i="1"/>
  <c r="AA54" i="1" s="1"/>
  <c r="X51" i="2"/>
  <c r="Z50" i="2"/>
  <c r="AA50" i="2" s="1"/>
  <c r="AB51" i="3"/>
  <c r="AE50" i="3"/>
  <c r="AF50" i="3" s="1"/>
  <c r="D56" i="1" l="1"/>
  <c r="Z55" i="1"/>
  <c r="AA55" i="1" s="1"/>
  <c r="X52" i="2"/>
  <c r="Z51" i="2"/>
  <c r="AA51" i="2" s="1"/>
  <c r="AB52" i="3"/>
  <c r="AE51" i="3"/>
  <c r="AF51" i="3" s="1"/>
  <c r="D57" i="1" l="1"/>
  <c r="Z56" i="1"/>
  <c r="AA56" i="1" s="1"/>
  <c r="X53" i="2"/>
  <c r="Z52" i="2"/>
  <c r="AA52" i="2" s="1"/>
  <c r="AB53" i="3"/>
  <c r="AE52" i="3"/>
  <c r="AF52" i="3" s="1"/>
  <c r="D58" i="1" l="1"/>
  <c r="Z57" i="1"/>
  <c r="AA57" i="1" s="1"/>
  <c r="X54" i="2"/>
  <c r="Z53" i="2"/>
  <c r="AA53" i="2" s="1"/>
  <c r="AB54" i="3"/>
  <c r="AE53" i="3"/>
  <c r="AF53" i="3" s="1"/>
  <c r="D59" i="1" l="1"/>
  <c r="Z58" i="1"/>
  <c r="AA58" i="1" s="1"/>
  <c r="X55" i="2"/>
  <c r="Z54" i="2"/>
  <c r="AA54" i="2" s="1"/>
  <c r="AB55" i="3"/>
  <c r="AE54" i="3"/>
  <c r="AF54" i="3" s="1"/>
  <c r="D60" i="1" l="1"/>
  <c r="Z59" i="1"/>
  <c r="AA59" i="1" s="1"/>
  <c r="X56" i="2"/>
  <c r="Z55" i="2"/>
  <c r="AA55" i="2" s="1"/>
  <c r="AB56" i="3"/>
  <c r="AE55" i="3"/>
  <c r="AF55" i="3" s="1"/>
  <c r="D61" i="1" l="1"/>
  <c r="Z60" i="1"/>
  <c r="AA60" i="1" s="1"/>
  <c r="X57" i="2"/>
  <c r="Z56" i="2"/>
  <c r="AA56" i="2" s="1"/>
  <c r="AB57" i="3"/>
  <c r="AE56" i="3"/>
  <c r="AF56" i="3" s="1"/>
  <c r="D62" i="1" l="1"/>
  <c r="Z61" i="1"/>
  <c r="AA61" i="1" s="1"/>
  <c r="X58" i="2"/>
  <c r="Z57" i="2"/>
  <c r="AA57" i="2" s="1"/>
  <c r="AB58" i="3"/>
  <c r="AE57" i="3"/>
  <c r="AF57" i="3" s="1"/>
  <c r="D63" i="1" l="1"/>
  <c r="Z62" i="1"/>
  <c r="AA62" i="1" s="1"/>
  <c r="X59" i="2"/>
  <c r="Z58" i="2"/>
  <c r="AA58" i="2" s="1"/>
  <c r="AB59" i="3"/>
  <c r="AE58" i="3"/>
  <c r="AF58" i="3" s="1"/>
  <c r="D64" i="1" l="1"/>
  <c r="Z63" i="1"/>
  <c r="AA63" i="1" s="1"/>
  <c r="X60" i="2"/>
  <c r="Z59" i="2"/>
  <c r="AA59" i="2" s="1"/>
  <c r="AB60" i="3"/>
  <c r="AE59" i="3"/>
  <c r="AF59" i="3" s="1"/>
  <c r="D65" i="1" l="1"/>
  <c r="Z64" i="1"/>
  <c r="AA64" i="1" s="1"/>
  <c r="X61" i="2"/>
  <c r="Z60" i="2"/>
  <c r="AA60" i="2" s="1"/>
  <c r="AB61" i="3"/>
  <c r="AE60" i="3"/>
  <c r="AF60" i="3" s="1"/>
  <c r="D66" i="1" l="1"/>
  <c r="Z65" i="1"/>
  <c r="AA65" i="1" s="1"/>
  <c r="X62" i="2"/>
  <c r="Z61" i="2"/>
  <c r="AA61" i="2" s="1"/>
  <c r="AB62" i="3"/>
  <c r="AE61" i="3"/>
  <c r="AF61" i="3" s="1"/>
  <c r="D67" i="1" l="1"/>
  <c r="Z66" i="1"/>
  <c r="AA66" i="1" s="1"/>
  <c r="X63" i="2"/>
  <c r="Z62" i="2"/>
  <c r="AA62" i="2" s="1"/>
  <c r="AB63" i="3"/>
  <c r="AE62" i="3"/>
  <c r="AF62" i="3" s="1"/>
  <c r="D68" i="1" l="1"/>
  <c r="Z67" i="1"/>
  <c r="AA67" i="1" s="1"/>
  <c r="X64" i="2"/>
  <c r="Z63" i="2"/>
  <c r="AA63" i="2" s="1"/>
  <c r="AB64" i="3"/>
  <c r="AE63" i="3"/>
  <c r="AF63" i="3" s="1"/>
  <c r="D69" i="1" l="1"/>
  <c r="Z68" i="1"/>
  <c r="AA68" i="1" s="1"/>
  <c r="X65" i="2"/>
  <c r="Z64" i="2"/>
  <c r="AA64" i="2" s="1"/>
  <c r="AB65" i="3"/>
  <c r="AE64" i="3"/>
  <c r="AF64" i="3" s="1"/>
  <c r="D70" i="1" l="1"/>
  <c r="Z69" i="1"/>
  <c r="AA69" i="1" s="1"/>
  <c r="X66" i="2"/>
  <c r="Z65" i="2"/>
  <c r="AA65" i="2" s="1"/>
  <c r="AB66" i="3"/>
  <c r="AE65" i="3"/>
  <c r="AF65" i="3" s="1"/>
  <c r="D71" i="1" l="1"/>
  <c r="Z70" i="1"/>
  <c r="AA70" i="1" s="1"/>
  <c r="X67" i="2"/>
  <c r="Z66" i="2"/>
  <c r="AA66" i="2" s="1"/>
  <c r="AB67" i="3"/>
  <c r="AE66" i="3"/>
  <c r="AF66" i="3" s="1"/>
  <c r="D72" i="1" l="1"/>
  <c r="Z71" i="1"/>
  <c r="AA71" i="1" s="1"/>
  <c r="X68" i="2"/>
  <c r="Z67" i="2"/>
  <c r="AA67" i="2" s="1"/>
  <c r="AB68" i="3"/>
  <c r="AE67" i="3"/>
  <c r="AF67" i="3" s="1"/>
  <c r="D73" i="1" l="1"/>
  <c r="Z72" i="1"/>
  <c r="AA72" i="1" s="1"/>
  <c r="X69" i="2"/>
  <c r="Z68" i="2"/>
  <c r="AA68" i="2" s="1"/>
  <c r="AB69" i="3"/>
  <c r="AE68" i="3"/>
  <c r="AF68" i="3" s="1"/>
  <c r="D74" i="1" l="1"/>
  <c r="Z73" i="1"/>
  <c r="AA73" i="1" s="1"/>
  <c r="X70" i="2"/>
  <c r="Z69" i="2"/>
  <c r="AA69" i="2" s="1"/>
  <c r="AB70" i="3"/>
  <c r="AE69" i="3"/>
  <c r="AF69" i="3" s="1"/>
  <c r="D75" i="1" l="1"/>
  <c r="Z74" i="1"/>
  <c r="AA74" i="1" s="1"/>
  <c r="X71" i="2"/>
  <c r="Z70" i="2"/>
  <c r="AA70" i="2" s="1"/>
  <c r="AB71" i="3"/>
  <c r="AE70" i="3"/>
  <c r="AF70" i="3" s="1"/>
  <c r="D76" i="1" l="1"/>
  <c r="Z75" i="1"/>
  <c r="AA75" i="1" s="1"/>
  <c r="X72" i="2"/>
  <c r="Z71" i="2"/>
  <c r="AA71" i="2" s="1"/>
  <c r="AB72" i="3"/>
  <c r="AE71" i="3"/>
  <c r="AF71" i="3" s="1"/>
  <c r="D77" i="1" l="1"/>
  <c r="Z76" i="1"/>
  <c r="AA76" i="1" s="1"/>
  <c r="X73" i="2"/>
  <c r="Z72" i="2"/>
  <c r="AA72" i="2" s="1"/>
  <c r="AB73" i="3"/>
  <c r="AE72" i="3"/>
  <c r="AF72" i="3" s="1"/>
  <c r="D78" i="1" l="1"/>
  <c r="Z77" i="1"/>
  <c r="AA77" i="1" s="1"/>
  <c r="X74" i="2"/>
  <c r="Z73" i="2"/>
  <c r="AA73" i="2" s="1"/>
  <c r="AB74" i="3"/>
  <c r="AE73" i="3"/>
  <c r="AF73" i="3" s="1"/>
  <c r="D79" i="1" l="1"/>
  <c r="Z78" i="1"/>
  <c r="AA78" i="1" s="1"/>
  <c r="X75" i="2"/>
  <c r="Z74" i="2"/>
  <c r="AA74" i="2" s="1"/>
  <c r="AB75" i="3"/>
  <c r="AE74" i="3"/>
  <c r="AF74" i="3" s="1"/>
  <c r="D80" i="1" l="1"/>
  <c r="Z79" i="1"/>
  <c r="AA79" i="1" s="1"/>
  <c r="X76" i="2"/>
  <c r="Z75" i="2"/>
  <c r="AA75" i="2" s="1"/>
  <c r="AB76" i="3"/>
  <c r="AE75" i="3"/>
  <c r="AF75" i="3" s="1"/>
  <c r="D81" i="1" l="1"/>
  <c r="Z80" i="1"/>
  <c r="AA80" i="1" s="1"/>
  <c r="X77" i="2"/>
  <c r="Z76" i="2"/>
  <c r="AA76" i="2" s="1"/>
  <c r="AB77" i="3"/>
  <c r="AE76" i="3"/>
  <c r="AF76" i="3" s="1"/>
  <c r="D82" i="1" l="1"/>
  <c r="Z81" i="1"/>
  <c r="AA81" i="1" s="1"/>
  <c r="X78" i="2"/>
  <c r="Z77" i="2"/>
  <c r="AA77" i="2" s="1"/>
  <c r="AB78" i="3"/>
  <c r="AE77" i="3"/>
  <c r="AF77" i="3" s="1"/>
  <c r="D83" i="1" l="1"/>
  <c r="Z82" i="1"/>
  <c r="AA82" i="1" s="1"/>
  <c r="X79" i="2"/>
  <c r="Z78" i="2"/>
  <c r="AA78" i="2" s="1"/>
  <c r="AB79" i="3"/>
  <c r="AE78" i="3"/>
  <c r="AF78" i="3" s="1"/>
  <c r="D84" i="1" l="1"/>
  <c r="Z83" i="1"/>
  <c r="AA83" i="1" s="1"/>
  <c r="X80" i="2"/>
  <c r="Z79" i="2"/>
  <c r="AA79" i="2" s="1"/>
  <c r="AB80" i="3"/>
  <c r="AE79" i="3"/>
  <c r="AF79" i="3" s="1"/>
  <c r="D85" i="1" l="1"/>
  <c r="Z84" i="1"/>
  <c r="AA84" i="1" s="1"/>
  <c r="X81" i="2"/>
  <c r="Z80" i="2"/>
  <c r="AA80" i="2" s="1"/>
  <c r="AB81" i="3"/>
  <c r="AE80" i="3"/>
  <c r="AF80" i="3" s="1"/>
  <c r="D86" i="1" l="1"/>
  <c r="Z85" i="1"/>
  <c r="AA85" i="1" s="1"/>
  <c r="X82" i="2"/>
  <c r="Z81" i="2"/>
  <c r="AA81" i="2" s="1"/>
  <c r="AB82" i="3"/>
  <c r="AE81" i="3"/>
  <c r="AF81" i="3" s="1"/>
  <c r="D87" i="1" l="1"/>
  <c r="Z86" i="1"/>
  <c r="AA86" i="1" s="1"/>
  <c r="X83" i="2"/>
  <c r="Z82" i="2"/>
  <c r="AA82" i="2" s="1"/>
  <c r="AB83" i="3"/>
  <c r="AE82" i="3"/>
  <c r="AF82" i="3" s="1"/>
  <c r="D88" i="1" l="1"/>
  <c r="Z87" i="1"/>
  <c r="AA87" i="1" s="1"/>
  <c r="X84" i="2"/>
  <c r="Z83" i="2"/>
  <c r="AA83" i="2" s="1"/>
  <c r="AB84" i="3"/>
  <c r="AE83" i="3"/>
  <c r="AF83" i="3" s="1"/>
  <c r="D89" i="1" l="1"/>
  <c r="Z88" i="1"/>
  <c r="AA88" i="1" s="1"/>
  <c r="X85" i="2"/>
  <c r="Z84" i="2"/>
  <c r="AA84" i="2" s="1"/>
  <c r="AB85" i="3"/>
  <c r="AE84" i="3"/>
  <c r="AF84" i="3" s="1"/>
  <c r="D90" i="1" l="1"/>
  <c r="Z89" i="1"/>
  <c r="AA89" i="1" s="1"/>
  <c r="X86" i="2"/>
  <c r="Z85" i="2"/>
  <c r="AA85" i="2" s="1"/>
  <c r="AB86" i="3"/>
  <c r="AE85" i="3"/>
  <c r="AF85" i="3" s="1"/>
  <c r="D91" i="1" l="1"/>
  <c r="Z90" i="1"/>
  <c r="AA90" i="1" s="1"/>
  <c r="X87" i="2"/>
  <c r="Z86" i="2"/>
  <c r="AA86" i="2" s="1"/>
  <c r="AB87" i="3"/>
  <c r="AE86" i="3"/>
  <c r="AF86" i="3" s="1"/>
  <c r="D92" i="1" l="1"/>
  <c r="Z91" i="1"/>
  <c r="AA91" i="1" s="1"/>
  <c r="X88" i="2"/>
  <c r="Z87" i="2"/>
  <c r="AA87" i="2" s="1"/>
  <c r="AB88" i="3"/>
  <c r="AE87" i="3"/>
  <c r="AF87" i="3" s="1"/>
  <c r="D93" i="1" l="1"/>
  <c r="Z92" i="1"/>
  <c r="AA92" i="1" s="1"/>
  <c r="X89" i="2"/>
  <c r="Z88" i="2"/>
  <c r="AA88" i="2" s="1"/>
  <c r="AB89" i="3"/>
  <c r="AE88" i="3"/>
  <c r="AF88" i="3" s="1"/>
  <c r="D94" i="1" l="1"/>
  <c r="Z93" i="1"/>
  <c r="AA93" i="1" s="1"/>
  <c r="X90" i="2"/>
  <c r="Z89" i="2"/>
  <c r="AA89" i="2" s="1"/>
  <c r="AB90" i="3"/>
  <c r="AE89" i="3"/>
  <c r="AF89" i="3" s="1"/>
  <c r="D95" i="1" l="1"/>
  <c r="Z94" i="1"/>
  <c r="AA94" i="1" s="1"/>
  <c r="X91" i="2"/>
  <c r="Z90" i="2"/>
  <c r="AA90" i="2" s="1"/>
  <c r="AB91" i="3"/>
  <c r="AE90" i="3"/>
  <c r="AF90" i="3" s="1"/>
  <c r="D96" i="1" l="1"/>
  <c r="Z95" i="1"/>
  <c r="AA95" i="1" s="1"/>
  <c r="X92" i="2"/>
  <c r="Z91" i="2"/>
  <c r="AA91" i="2" s="1"/>
  <c r="AB92" i="3"/>
  <c r="AE91" i="3"/>
  <c r="AF91" i="3" s="1"/>
  <c r="D97" i="1" l="1"/>
  <c r="Z96" i="1"/>
  <c r="AA96" i="1" s="1"/>
  <c r="X93" i="2"/>
  <c r="Z92" i="2"/>
  <c r="AA92" i="2" s="1"/>
  <c r="AB93" i="3"/>
  <c r="AE92" i="3"/>
  <c r="AF92" i="3" s="1"/>
  <c r="D98" i="1" l="1"/>
  <c r="Z97" i="1"/>
  <c r="AA97" i="1" s="1"/>
  <c r="X94" i="2"/>
  <c r="Z93" i="2"/>
  <c r="AA93" i="2" s="1"/>
  <c r="AB94" i="3"/>
  <c r="AE93" i="3"/>
  <c r="AF93" i="3" s="1"/>
  <c r="D99" i="1" l="1"/>
  <c r="Z98" i="1"/>
  <c r="AA98" i="1" s="1"/>
  <c r="X95" i="2"/>
  <c r="Z94" i="2"/>
  <c r="AA94" i="2" s="1"/>
  <c r="AB95" i="3"/>
  <c r="AE94" i="3"/>
  <c r="AF94" i="3" s="1"/>
  <c r="D100" i="1" l="1"/>
  <c r="Z99" i="1"/>
  <c r="AA99" i="1" s="1"/>
  <c r="X96" i="2"/>
  <c r="Z95" i="2"/>
  <c r="AA95" i="2" s="1"/>
  <c r="AB96" i="3"/>
  <c r="AE95" i="3"/>
  <c r="AF95" i="3" s="1"/>
  <c r="D101" i="1" l="1"/>
  <c r="Z100" i="1"/>
  <c r="AA100" i="1" s="1"/>
  <c r="X97" i="2"/>
  <c r="Z96" i="2"/>
  <c r="AA96" i="2" s="1"/>
  <c r="AB97" i="3"/>
  <c r="AE96" i="3"/>
  <c r="AF96" i="3" s="1"/>
  <c r="D102" i="1" l="1"/>
  <c r="Z101" i="1"/>
  <c r="AA101" i="1" s="1"/>
  <c r="X98" i="2"/>
  <c r="Z97" i="2"/>
  <c r="AA97" i="2" s="1"/>
  <c r="AB98" i="3"/>
  <c r="AE97" i="3"/>
  <c r="AF97" i="3" s="1"/>
  <c r="D103" i="1" l="1"/>
  <c r="Z102" i="1"/>
  <c r="AA102" i="1" s="1"/>
  <c r="X99" i="2"/>
  <c r="Z98" i="2"/>
  <c r="AA98" i="2" s="1"/>
  <c r="AB99" i="3"/>
  <c r="AE98" i="3"/>
  <c r="AF98" i="3" s="1"/>
  <c r="D104" i="1" l="1"/>
  <c r="Z103" i="1"/>
  <c r="AA103" i="1" s="1"/>
  <c r="X100" i="2"/>
  <c r="Z99" i="2"/>
  <c r="AA99" i="2" s="1"/>
  <c r="AB100" i="3"/>
  <c r="AE99" i="3"/>
  <c r="AF99" i="3" s="1"/>
  <c r="D105" i="1" l="1"/>
  <c r="Z104" i="1"/>
  <c r="AA104" i="1" s="1"/>
  <c r="X101" i="2"/>
  <c r="Z100" i="2"/>
  <c r="AA100" i="2" s="1"/>
  <c r="AB101" i="3"/>
  <c r="AE100" i="3"/>
  <c r="AF100" i="3" s="1"/>
  <c r="D106" i="1" l="1"/>
  <c r="Z105" i="1"/>
  <c r="AA105" i="1" s="1"/>
  <c r="X102" i="2"/>
  <c r="Z101" i="2"/>
  <c r="AA101" i="2" s="1"/>
  <c r="AB102" i="3"/>
  <c r="AE101" i="3"/>
  <c r="AF101" i="3" s="1"/>
  <c r="D107" i="1" l="1"/>
  <c r="Z106" i="1"/>
  <c r="AA106" i="1" s="1"/>
  <c r="X103" i="2"/>
  <c r="Z102" i="2"/>
  <c r="AA102" i="2" s="1"/>
  <c r="AB103" i="3"/>
  <c r="AE102" i="3"/>
  <c r="AF102" i="3" s="1"/>
  <c r="D108" i="1" l="1"/>
  <c r="Z107" i="1"/>
  <c r="AA107" i="1" s="1"/>
  <c r="X104" i="2"/>
  <c r="Z103" i="2"/>
  <c r="AA103" i="2" s="1"/>
  <c r="AB104" i="3"/>
  <c r="AE103" i="3"/>
  <c r="AF103" i="3" s="1"/>
  <c r="D109" i="1" l="1"/>
  <c r="Z108" i="1"/>
  <c r="AA108" i="1" s="1"/>
  <c r="X105" i="2"/>
  <c r="Z104" i="2"/>
  <c r="AA104" i="2" s="1"/>
  <c r="AB105" i="3"/>
  <c r="AE104" i="3"/>
  <c r="AF104" i="3" s="1"/>
  <c r="D110" i="1" l="1"/>
  <c r="Z109" i="1"/>
  <c r="AA109" i="1" s="1"/>
  <c r="X106" i="2"/>
  <c r="Z105" i="2"/>
  <c r="AA105" i="2" s="1"/>
  <c r="AB106" i="3"/>
  <c r="AE105" i="3"/>
  <c r="AF105" i="3" s="1"/>
  <c r="D111" i="1" l="1"/>
  <c r="Z110" i="1"/>
  <c r="AA110" i="1" s="1"/>
  <c r="X107" i="2"/>
  <c r="Z106" i="2"/>
  <c r="AA106" i="2" s="1"/>
  <c r="AB107" i="3"/>
  <c r="AE106" i="3"/>
  <c r="AF106" i="3" s="1"/>
  <c r="D112" i="1" l="1"/>
  <c r="Z111" i="1"/>
  <c r="AA111" i="1" s="1"/>
  <c r="X108" i="2"/>
  <c r="Z107" i="2"/>
  <c r="AA107" i="2" s="1"/>
  <c r="AB108" i="3"/>
  <c r="AE107" i="3"/>
  <c r="AF107" i="3" s="1"/>
  <c r="D113" i="1" l="1"/>
  <c r="Z112" i="1"/>
  <c r="AA112" i="1" s="1"/>
  <c r="X109" i="2"/>
  <c r="Z108" i="2"/>
  <c r="AA108" i="2" s="1"/>
  <c r="AB109" i="3"/>
  <c r="AE108" i="3"/>
  <c r="AF108" i="3" s="1"/>
  <c r="D114" i="1" l="1"/>
  <c r="Z113" i="1"/>
  <c r="AA113" i="1" s="1"/>
  <c r="X110" i="2"/>
  <c r="Z109" i="2"/>
  <c r="AA109" i="2" s="1"/>
  <c r="AB110" i="3"/>
  <c r="AE109" i="3"/>
  <c r="AF109" i="3" s="1"/>
  <c r="D115" i="1" l="1"/>
  <c r="Z114" i="1"/>
  <c r="AA114" i="1" s="1"/>
  <c r="X111" i="2"/>
  <c r="Z110" i="2"/>
  <c r="AA110" i="2" s="1"/>
  <c r="AB111" i="3"/>
  <c r="AE110" i="3"/>
  <c r="AF110" i="3" s="1"/>
  <c r="D116" i="1" l="1"/>
  <c r="Z115" i="1"/>
  <c r="AA115" i="1" s="1"/>
  <c r="X112" i="2"/>
  <c r="Z111" i="2"/>
  <c r="AA111" i="2" s="1"/>
  <c r="AB112" i="3"/>
  <c r="AE111" i="3"/>
  <c r="AF111" i="3" s="1"/>
  <c r="D117" i="1" l="1"/>
  <c r="Z116" i="1"/>
  <c r="AA116" i="1" s="1"/>
  <c r="X113" i="2"/>
  <c r="Z112" i="2"/>
  <c r="AA112" i="2" s="1"/>
  <c r="AB113" i="3"/>
  <c r="AE112" i="3"/>
  <c r="AF112" i="3" s="1"/>
  <c r="D118" i="1" l="1"/>
  <c r="Z117" i="1"/>
  <c r="AA117" i="1" s="1"/>
  <c r="X114" i="2"/>
  <c r="Z113" i="2"/>
  <c r="AA113" i="2" s="1"/>
  <c r="AB114" i="3"/>
  <c r="AE113" i="3"/>
  <c r="AF113" i="3" s="1"/>
  <c r="D119" i="1" l="1"/>
  <c r="Z118" i="1"/>
  <c r="AA118" i="1" s="1"/>
  <c r="X115" i="2"/>
  <c r="Z114" i="2"/>
  <c r="AA114" i="2" s="1"/>
  <c r="AB115" i="3"/>
  <c r="AE114" i="3"/>
  <c r="AF114" i="3" s="1"/>
  <c r="D120" i="1" l="1"/>
  <c r="Z119" i="1"/>
  <c r="AA119" i="1" s="1"/>
  <c r="X116" i="2"/>
  <c r="Z115" i="2"/>
  <c r="AA115" i="2" s="1"/>
  <c r="AB116" i="3"/>
  <c r="AE115" i="3"/>
  <c r="AF115" i="3" s="1"/>
  <c r="D121" i="1" l="1"/>
  <c r="Z120" i="1"/>
  <c r="AA120" i="1" s="1"/>
  <c r="X117" i="2"/>
  <c r="Z116" i="2"/>
  <c r="AA116" i="2" s="1"/>
  <c r="AB117" i="3"/>
  <c r="AE116" i="3"/>
  <c r="AF116" i="3" s="1"/>
  <c r="D122" i="1" l="1"/>
  <c r="Z121" i="1"/>
  <c r="AA121" i="1" s="1"/>
  <c r="X118" i="2"/>
  <c r="Z117" i="2"/>
  <c r="AA117" i="2" s="1"/>
  <c r="AB118" i="3"/>
  <c r="AE117" i="3"/>
  <c r="AF117" i="3" s="1"/>
  <c r="D123" i="1" l="1"/>
  <c r="Z122" i="1"/>
  <c r="AA122" i="1" s="1"/>
  <c r="X119" i="2"/>
  <c r="Z118" i="2"/>
  <c r="AA118" i="2" s="1"/>
  <c r="AB119" i="3"/>
  <c r="AE118" i="3"/>
  <c r="AF118" i="3" s="1"/>
  <c r="D124" i="1" l="1"/>
  <c r="Z123" i="1"/>
  <c r="AA123" i="1" s="1"/>
  <c r="X120" i="2"/>
  <c r="Z119" i="2"/>
  <c r="AA119" i="2" s="1"/>
  <c r="AB120" i="3"/>
  <c r="AE119" i="3"/>
  <c r="AF119" i="3" s="1"/>
  <c r="D125" i="1" l="1"/>
  <c r="Z124" i="1"/>
  <c r="AA124" i="1" s="1"/>
  <c r="X121" i="2"/>
  <c r="Z120" i="2"/>
  <c r="AA120" i="2" s="1"/>
  <c r="AB121" i="3"/>
  <c r="AE120" i="3"/>
  <c r="AF120" i="3" s="1"/>
  <c r="D126" i="1" l="1"/>
  <c r="Z125" i="1"/>
  <c r="AA125" i="1" s="1"/>
  <c r="X122" i="2"/>
  <c r="Z121" i="2"/>
  <c r="AA121" i="2" s="1"/>
  <c r="AB122" i="3"/>
  <c r="AE121" i="3"/>
  <c r="AF121" i="3" s="1"/>
  <c r="D127" i="1" l="1"/>
  <c r="Z126" i="1"/>
  <c r="AA126" i="1" s="1"/>
  <c r="X123" i="2"/>
  <c r="Z122" i="2"/>
  <c r="AA122" i="2" s="1"/>
  <c r="AB123" i="3"/>
  <c r="AE122" i="3"/>
  <c r="AF122" i="3" s="1"/>
  <c r="D128" i="1" l="1"/>
  <c r="Z127" i="1"/>
  <c r="AA127" i="1" s="1"/>
  <c r="X124" i="2"/>
  <c r="Z123" i="2"/>
  <c r="AA123" i="2" s="1"/>
  <c r="AB124" i="3"/>
  <c r="AE123" i="3"/>
  <c r="AF123" i="3" s="1"/>
  <c r="D129" i="1" l="1"/>
  <c r="Z128" i="1"/>
  <c r="AA128" i="1" s="1"/>
  <c r="X125" i="2"/>
  <c r="Z124" i="2"/>
  <c r="AA124" i="2" s="1"/>
  <c r="AB125" i="3"/>
  <c r="AE124" i="3"/>
  <c r="AF124" i="3" s="1"/>
  <c r="D130" i="1" l="1"/>
  <c r="Z129" i="1"/>
  <c r="AA129" i="1" s="1"/>
  <c r="X126" i="2"/>
  <c r="Z125" i="2"/>
  <c r="AA125" i="2" s="1"/>
  <c r="AB126" i="3"/>
  <c r="AE125" i="3"/>
  <c r="AF125" i="3" s="1"/>
  <c r="D131" i="1" l="1"/>
  <c r="Z130" i="1"/>
  <c r="AA130" i="1" s="1"/>
  <c r="X127" i="2"/>
  <c r="Z126" i="2"/>
  <c r="AA126" i="2" s="1"/>
  <c r="AB127" i="3"/>
  <c r="AE126" i="3"/>
  <c r="AF126" i="3" s="1"/>
  <c r="D132" i="1" l="1"/>
  <c r="Z131" i="1"/>
  <c r="AA131" i="1" s="1"/>
  <c r="X128" i="2"/>
  <c r="Z127" i="2"/>
  <c r="AA127" i="2" s="1"/>
  <c r="AB128" i="3"/>
  <c r="AE127" i="3"/>
  <c r="AF127" i="3" s="1"/>
  <c r="D133" i="1" l="1"/>
  <c r="Z132" i="1"/>
  <c r="AA132" i="1" s="1"/>
  <c r="X129" i="2"/>
  <c r="Z128" i="2"/>
  <c r="AA128" i="2" s="1"/>
  <c r="AB129" i="3"/>
  <c r="AE128" i="3"/>
  <c r="AF128" i="3" s="1"/>
  <c r="D134" i="1" l="1"/>
  <c r="Z133" i="1"/>
  <c r="AA133" i="1" s="1"/>
  <c r="X130" i="2"/>
  <c r="Z129" i="2"/>
  <c r="AA129" i="2" s="1"/>
  <c r="AB130" i="3"/>
  <c r="AE129" i="3"/>
  <c r="AF129" i="3" s="1"/>
  <c r="D135" i="1" l="1"/>
  <c r="Z134" i="1"/>
  <c r="AA134" i="1" s="1"/>
  <c r="X131" i="2"/>
  <c r="Z130" i="2"/>
  <c r="AA130" i="2" s="1"/>
  <c r="AB131" i="3"/>
  <c r="AE130" i="3"/>
  <c r="AF130" i="3" s="1"/>
  <c r="D136" i="1" l="1"/>
  <c r="Z135" i="1"/>
  <c r="AA135" i="1" s="1"/>
  <c r="X132" i="2"/>
  <c r="Z131" i="2"/>
  <c r="AA131" i="2" s="1"/>
  <c r="AB132" i="3"/>
  <c r="AE131" i="3"/>
  <c r="AF131" i="3" s="1"/>
  <c r="D137" i="1" l="1"/>
  <c r="Z136" i="1"/>
  <c r="AA136" i="1" s="1"/>
  <c r="X133" i="2"/>
  <c r="Z132" i="2"/>
  <c r="AA132" i="2" s="1"/>
  <c r="AB133" i="3"/>
  <c r="AE132" i="3"/>
  <c r="AF132" i="3" s="1"/>
  <c r="D138" i="1" l="1"/>
  <c r="Z137" i="1"/>
  <c r="AA137" i="1" s="1"/>
  <c r="X134" i="2"/>
  <c r="Z133" i="2"/>
  <c r="AA133" i="2" s="1"/>
  <c r="AB134" i="3"/>
  <c r="AE133" i="3"/>
  <c r="AF133" i="3" s="1"/>
  <c r="D139" i="1" l="1"/>
  <c r="Z138" i="1"/>
  <c r="AA138" i="1" s="1"/>
  <c r="X135" i="2"/>
  <c r="Z134" i="2"/>
  <c r="AA134" i="2" s="1"/>
  <c r="AB135" i="3"/>
  <c r="AE134" i="3"/>
  <c r="AF134" i="3" s="1"/>
  <c r="D140" i="1" l="1"/>
  <c r="Z139" i="1"/>
  <c r="AA139" i="1" s="1"/>
  <c r="X136" i="2"/>
  <c r="Z135" i="2"/>
  <c r="AA135" i="2" s="1"/>
  <c r="AB136" i="3"/>
  <c r="AE135" i="3"/>
  <c r="AF135" i="3" s="1"/>
  <c r="D141" i="1" l="1"/>
  <c r="Z140" i="1"/>
  <c r="AA140" i="1" s="1"/>
  <c r="X137" i="2"/>
  <c r="Z136" i="2"/>
  <c r="AA136" i="2" s="1"/>
  <c r="AB137" i="3"/>
  <c r="AE136" i="3"/>
  <c r="AF136" i="3" s="1"/>
  <c r="D142" i="1" l="1"/>
  <c r="Z141" i="1"/>
  <c r="AA141" i="1" s="1"/>
  <c r="X138" i="2"/>
  <c r="Z137" i="2"/>
  <c r="AA137" i="2" s="1"/>
  <c r="AB138" i="3"/>
  <c r="AE137" i="3"/>
  <c r="AF137" i="3" s="1"/>
  <c r="D143" i="1" l="1"/>
  <c r="Z142" i="1"/>
  <c r="AA142" i="1" s="1"/>
  <c r="X139" i="2"/>
  <c r="Z138" i="2"/>
  <c r="AA138" i="2" s="1"/>
  <c r="AB139" i="3"/>
  <c r="AE138" i="3"/>
  <c r="AF138" i="3" s="1"/>
  <c r="D144" i="1" l="1"/>
  <c r="Z143" i="1"/>
  <c r="AA143" i="1" s="1"/>
  <c r="X140" i="2"/>
  <c r="Z139" i="2"/>
  <c r="AA139" i="2" s="1"/>
  <c r="AB140" i="3"/>
  <c r="AE139" i="3"/>
  <c r="AF139" i="3" s="1"/>
  <c r="D145" i="1" l="1"/>
  <c r="Z144" i="1"/>
  <c r="AA144" i="1" s="1"/>
  <c r="X141" i="2"/>
  <c r="Z140" i="2"/>
  <c r="AA140" i="2" s="1"/>
  <c r="AB141" i="3"/>
  <c r="AE140" i="3"/>
  <c r="AF140" i="3" s="1"/>
  <c r="D146" i="1" l="1"/>
  <c r="Z145" i="1"/>
  <c r="AA145" i="1" s="1"/>
  <c r="X142" i="2"/>
  <c r="Z141" i="2"/>
  <c r="AA141" i="2" s="1"/>
  <c r="AB142" i="3"/>
  <c r="AE141" i="3"/>
  <c r="AF141" i="3" s="1"/>
  <c r="D147" i="1" l="1"/>
  <c r="Z146" i="1"/>
  <c r="AA146" i="1" s="1"/>
  <c r="X143" i="2"/>
  <c r="Z142" i="2"/>
  <c r="AA142" i="2" s="1"/>
  <c r="AB143" i="3"/>
  <c r="AE142" i="3"/>
  <c r="AF142" i="3" s="1"/>
  <c r="D148" i="1" l="1"/>
  <c r="Z147" i="1"/>
  <c r="AA147" i="1" s="1"/>
  <c r="X144" i="2"/>
  <c r="Z143" i="2"/>
  <c r="AA143" i="2" s="1"/>
  <c r="AB144" i="3"/>
  <c r="AE143" i="3"/>
  <c r="AF143" i="3" s="1"/>
  <c r="D149" i="1" l="1"/>
  <c r="Z148" i="1"/>
  <c r="AA148" i="1" s="1"/>
  <c r="X145" i="2"/>
  <c r="Z144" i="2"/>
  <c r="AA144" i="2" s="1"/>
  <c r="AB145" i="3"/>
  <c r="AE144" i="3"/>
  <c r="AF144" i="3" s="1"/>
  <c r="D150" i="1" l="1"/>
  <c r="Z149" i="1"/>
  <c r="AA149" i="1" s="1"/>
  <c r="X146" i="2"/>
  <c r="Z145" i="2"/>
  <c r="AA145" i="2" s="1"/>
  <c r="AB146" i="3"/>
  <c r="AE145" i="3"/>
  <c r="AF145" i="3" s="1"/>
  <c r="D151" i="1" l="1"/>
  <c r="Z150" i="1"/>
  <c r="AA150" i="1" s="1"/>
  <c r="X147" i="2"/>
  <c r="Z146" i="2"/>
  <c r="AA146" i="2" s="1"/>
  <c r="AB147" i="3"/>
  <c r="AE146" i="3"/>
  <c r="AF146" i="3" s="1"/>
  <c r="D152" i="1" l="1"/>
  <c r="Z151" i="1"/>
  <c r="AA151" i="1" s="1"/>
  <c r="X148" i="2"/>
  <c r="Z147" i="2"/>
  <c r="AA147" i="2" s="1"/>
  <c r="AB148" i="3"/>
  <c r="AE147" i="3"/>
  <c r="AF147" i="3" s="1"/>
  <c r="D153" i="1" l="1"/>
  <c r="Z152" i="1"/>
  <c r="AA152" i="1" s="1"/>
  <c r="X149" i="2"/>
  <c r="Z148" i="2"/>
  <c r="AA148" i="2" s="1"/>
  <c r="AB149" i="3"/>
  <c r="AE148" i="3"/>
  <c r="AF148" i="3" s="1"/>
  <c r="D154" i="1" l="1"/>
  <c r="Z153" i="1"/>
  <c r="AA153" i="1" s="1"/>
  <c r="X150" i="2"/>
  <c r="Z149" i="2"/>
  <c r="AA149" i="2" s="1"/>
  <c r="AB150" i="3"/>
  <c r="AE149" i="3"/>
  <c r="AF149" i="3" s="1"/>
  <c r="D155" i="1" l="1"/>
  <c r="Z154" i="1"/>
  <c r="AA154" i="1" s="1"/>
  <c r="X151" i="2"/>
  <c r="Z150" i="2"/>
  <c r="AA150" i="2" s="1"/>
  <c r="AB151" i="3"/>
  <c r="AE150" i="3"/>
  <c r="AF150" i="3" s="1"/>
  <c r="D156" i="1" l="1"/>
  <c r="Z155" i="1"/>
  <c r="AA155" i="1" s="1"/>
  <c r="X152" i="2"/>
  <c r="Z151" i="2"/>
  <c r="AA151" i="2" s="1"/>
  <c r="AB152" i="3"/>
  <c r="AE151" i="3"/>
  <c r="AF151" i="3" s="1"/>
  <c r="D157" i="1" l="1"/>
  <c r="Z156" i="1"/>
  <c r="AA156" i="1" s="1"/>
  <c r="X153" i="2"/>
  <c r="Z152" i="2"/>
  <c r="AA152" i="2" s="1"/>
  <c r="AB153" i="3"/>
  <c r="AE152" i="3"/>
  <c r="AF152" i="3" s="1"/>
  <c r="D158" i="1" l="1"/>
  <c r="Z157" i="1"/>
  <c r="AA157" i="1" s="1"/>
  <c r="X154" i="2"/>
  <c r="Z153" i="2"/>
  <c r="AA153" i="2" s="1"/>
  <c r="AB154" i="3"/>
  <c r="AE153" i="3"/>
  <c r="AF153" i="3" s="1"/>
  <c r="D159" i="1" l="1"/>
  <c r="Z158" i="1"/>
  <c r="AA158" i="1" s="1"/>
  <c r="X155" i="2"/>
  <c r="Z154" i="2"/>
  <c r="AA154" i="2" s="1"/>
  <c r="AB155" i="3"/>
  <c r="AE154" i="3"/>
  <c r="AF154" i="3" s="1"/>
  <c r="D160" i="1" l="1"/>
  <c r="Z159" i="1"/>
  <c r="AA159" i="1" s="1"/>
  <c r="X156" i="2"/>
  <c r="Z155" i="2"/>
  <c r="AA155" i="2" s="1"/>
  <c r="AB156" i="3"/>
  <c r="AE155" i="3"/>
  <c r="AF155" i="3" s="1"/>
  <c r="D161" i="1" l="1"/>
  <c r="Z160" i="1"/>
  <c r="AA160" i="1" s="1"/>
  <c r="X157" i="2"/>
  <c r="Z156" i="2"/>
  <c r="AA156" i="2" s="1"/>
  <c r="AB157" i="3"/>
  <c r="AE156" i="3"/>
  <c r="AF156" i="3" s="1"/>
  <c r="D162" i="1" l="1"/>
  <c r="Z161" i="1"/>
  <c r="AA161" i="1" s="1"/>
  <c r="X158" i="2"/>
  <c r="Z157" i="2"/>
  <c r="AA157" i="2" s="1"/>
  <c r="AB158" i="3"/>
  <c r="AE157" i="3"/>
  <c r="AF157" i="3" s="1"/>
  <c r="D163" i="1" l="1"/>
  <c r="Z162" i="1"/>
  <c r="AA162" i="1" s="1"/>
  <c r="X159" i="2"/>
  <c r="Z158" i="2"/>
  <c r="AA158" i="2" s="1"/>
  <c r="AB159" i="3"/>
  <c r="AE158" i="3"/>
  <c r="AF158" i="3" s="1"/>
  <c r="D164" i="1" l="1"/>
  <c r="Z163" i="1"/>
  <c r="AA163" i="1" s="1"/>
  <c r="X160" i="2"/>
  <c r="Z159" i="2"/>
  <c r="AA159" i="2" s="1"/>
  <c r="AB160" i="3"/>
  <c r="AE159" i="3"/>
  <c r="AF159" i="3" s="1"/>
  <c r="D165" i="1" l="1"/>
  <c r="Z164" i="1"/>
  <c r="AA164" i="1" s="1"/>
  <c r="X161" i="2"/>
  <c r="Z160" i="2"/>
  <c r="AA160" i="2" s="1"/>
  <c r="AB161" i="3"/>
  <c r="AE160" i="3"/>
  <c r="AF160" i="3" s="1"/>
  <c r="D166" i="1" l="1"/>
  <c r="Z165" i="1"/>
  <c r="AA165" i="1" s="1"/>
  <c r="X162" i="2"/>
  <c r="Z161" i="2"/>
  <c r="AA161" i="2" s="1"/>
  <c r="AB162" i="3"/>
  <c r="AE161" i="3"/>
  <c r="AF161" i="3" s="1"/>
  <c r="D167" i="1" l="1"/>
  <c r="Z166" i="1"/>
  <c r="AA166" i="1" s="1"/>
  <c r="X163" i="2"/>
  <c r="Z162" i="2"/>
  <c r="AA162" i="2" s="1"/>
  <c r="AB163" i="3"/>
  <c r="AE162" i="3"/>
  <c r="AF162" i="3" s="1"/>
  <c r="D168" i="1" l="1"/>
  <c r="Z167" i="1"/>
  <c r="AA167" i="1" s="1"/>
  <c r="X164" i="2"/>
  <c r="Z163" i="2"/>
  <c r="AA163" i="2" s="1"/>
  <c r="AB164" i="3"/>
  <c r="AE163" i="3"/>
  <c r="AF163" i="3" s="1"/>
  <c r="D169" i="1" l="1"/>
  <c r="Z168" i="1"/>
  <c r="AA168" i="1" s="1"/>
  <c r="X165" i="2"/>
  <c r="Z164" i="2"/>
  <c r="AA164" i="2" s="1"/>
  <c r="AB165" i="3"/>
  <c r="AE164" i="3"/>
  <c r="AF164" i="3" s="1"/>
  <c r="D170" i="1" l="1"/>
  <c r="Z169" i="1"/>
  <c r="AA169" i="1" s="1"/>
  <c r="X166" i="2"/>
  <c r="Z165" i="2"/>
  <c r="AA165" i="2" s="1"/>
  <c r="AB166" i="3"/>
  <c r="AE165" i="3"/>
  <c r="AF165" i="3" s="1"/>
  <c r="D171" i="1" l="1"/>
  <c r="Z170" i="1"/>
  <c r="AA170" i="1" s="1"/>
  <c r="X167" i="2"/>
  <c r="Z166" i="2"/>
  <c r="AA166" i="2" s="1"/>
  <c r="AB167" i="3"/>
  <c r="AE166" i="3"/>
  <c r="AF166" i="3" s="1"/>
  <c r="D172" i="1" l="1"/>
  <c r="Z171" i="1"/>
  <c r="AA171" i="1" s="1"/>
  <c r="X168" i="2"/>
  <c r="Z167" i="2"/>
  <c r="AA167" i="2" s="1"/>
  <c r="AB168" i="3"/>
  <c r="AE167" i="3"/>
  <c r="AF167" i="3" s="1"/>
  <c r="D173" i="1" l="1"/>
  <c r="Z172" i="1"/>
  <c r="AA172" i="1" s="1"/>
  <c r="X169" i="2"/>
  <c r="Z168" i="2"/>
  <c r="AA168" i="2" s="1"/>
  <c r="AB169" i="3"/>
  <c r="AE168" i="3"/>
  <c r="AF168" i="3" s="1"/>
  <c r="D174" i="1" l="1"/>
  <c r="Z173" i="1"/>
  <c r="AA173" i="1" s="1"/>
  <c r="X170" i="2"/>
  <c r="Z169" i="2"/>
  <c r="AA169" i="2" s="1"/>
  <c r="AB170" i="3"/>
  <c r="AE169" i="3"/>
  <c r="AF169" i="3" s="1"/>
  <c r="D175" i="1" l="1"/>
  <c r="Z174" i="1"/>
  <c r="AA174" i="1" s="1"/>
  <c r="X171" i="2"/>
  <c r="Z170" i="2"/>
  <c r="AA170" i="2" s="1"/>
  <c r="AB171" i="3"/>
  <c r="AE170" i="3"/>
  <c r="AF170" i="3" s="1"/>
  <c r="D176" i="1" l="1"/>
  <c r="Z175" i="1"/>
  <c r="AA175" i="1" s="1"/>
  <c r="X172" i="2"/>
  <c r="Z171" i="2"/>
  <c r="AA171" i="2" s="1"/>
  <c r="AB172" i="3"/>
  <c r="AE171" i="3"/>
  <c r="AF171" i="3" s="1"/>
  <c r="D177" i="1" l="1"/>
  <c r="Z176" i="1"/>
  <c r="AA176" i="1" s="1"/>
  <c r="X173" i="2"/>
  <c r="Z172" i="2"/>
  <c r="AA172" i="2" s="1"/>
  <c r="AB173" i="3"/>
  <c r="AE172" i="3"/>
  <c r="AF172" i="3" s="1"/>
  <c r="D178" i="1" l="1"/>
  <c r="Z177" i="1"/>
  <c r="AA177" i="1" s="1"/>
  <c r="X174" i="2"/>
  <c r="Z173" i="2"/>
  <c r="AA173" i="2" s="1"/>
  <c r="AB174" i="3"/>
  <c r="AE173" i="3"/>
  <c r="AF173" i="3" s="1"/>
  <c r="D179" i="1" l="1"/>
  <c r="Z178" i="1"/>
  <c r="AA178" i="1" s="1"/>
  <c r="X175" i="2"/>
  <c r="Z174" i="2"/>
  <c r="AA174" i="2" s="1"/>
  <c r="AB175" i="3"/>
  <c r="AE174" i="3"/>
  <c r="AF174" i="3" s="1"/>
  <c r="D180" i="1" l="1"/>
  <c r="Z179" i="1"/>
  <c r="AA179" i="1" s="1"/>
  <c r="X176" i="2"/>
  <c r="Z175" i="2"/>
  <c r="AA175" i="2" s="1"/>
  <c r="AB176" i="3"/>
  <c r="AE175" i="3"/>
  <c r="AF175" i="3" s="1"/>
  <c r="D181" i="1" l="1"/>
  <c r="Z180" i="1"/>
  <c r="AA180" i="1" s="1"/>
  <c r="X177" i="2"/>
  <c r="Z176" i="2"/>
  <c r="AA176" i="2" s="1"/>
  <c r="AB177" i="3"/>
  <c r="AE176" i="3"/>
  <c r="AF176" i="3" s="1"/>
  <c r="D182" i="1" l="1"/>
  <c r="Z181" i="1"/>
  <c r="AA181" i="1" s="1"/>
  <c r="X178" i="2"/>
  <c r="Z177" i="2"/>
  <c r="AA177" i="2" s="1"/>
  <c r="AB178" i="3"/>
  <c r="AE177" i="3"/>
  <c r="AF177" i="3" s="1"/>
  <c r="D183" i="1" l="1"/>
  <c r="Z182" i="1"/>
  <c r="AA182" i="1" s="1"/>
  <c r="X179" i="2"/>
  <c r="Z178" i="2"/>
  <c r="AA178" i="2" s="1"/>
  <c r="AB179" i="3"/>
  <c r="AE178" i="3"/>
  <c r="AF178" i="3" s="1"/>
  <c r="D184" i="1" l="1"/>
  <c r="Z183" i="1"/>
  <c r="AA183" i="1" s="1"/>
  <c r="X180" i="2"/>
  <c r="Z179" i="2"/>
  <c r="AA179" i="2" s="1"/>
  <c r="AB180" i="3"/>
  <c r="AE179" i="3"/>
  <c r="AF179" i="3" s="1"/>
  <c r="D185" i="1" l="1"/>
  <c r="Z184" i="1"/>
  <c r="AA184" i="1" s="1"/>
  <c r="X181" i="2"/>
  <c r="Z180" i="2"/>
  <c r="AA180" i="2" s="1"/>
  <c r="AB181" i="3"/>
  <c r="AE180" i="3"/>
  <c r="AF180" i="3" s="1"/>
  <c r="D186" i="1" l="1"/>
  <c r="Z185" i="1"/>
  <c r="AA185" i="1" s="1"/>
  <c r="X182" i="2"/>
  <c r="Z181" i="2"/>
  <c r="AA181" i="2" s="1"/>
  <c r="AB182" i="3"/>
  <c r="AE181" i="3"/>
  <c r="AF181" i="3" s="1"/>
  <c r="D187" i="1" l="1"/>
  <c r="Z186" i="1"/>
  <c r="AA186" i="1" s="1"/>
  <c r="X183" i="2"/>
  <c r="Z182" i="2"/>
  <c r="AA182" i="2" s="1"/>
  <c r="AB183" i="3"/>
  <c r="AE182" i="3"/>
  <c r="AF182" i="3" s="1"/>
  <c r="D188" i="1" l="1"/>
  <c r="Z187" i="1"/>
  <c r="AA187" i="1" s="1"/>
  <c r="X184" i="2"/>
  <c r="Z183" i="2"/>
  <c r="AA183" i="2" s="1"/>
  <c r="AB184" i="3"/>
  <c r="AE183" i="3"/>
  <c r="AF183" i="3" s="1"/>
  <c r="D189" i="1" l="1"/>
  <c r="Z188" i="1"/>
  <c r="AA188" i="1" s="1"/>
  <c r="X185" i="2"/>
  <c r="Z184" i="2"/>
  <c r="AA184" i="2" s="1"/>
  <c r="AB185" i="3"/>
  <c r="AE184" i="3"/>
  <c r="AF184" i="3" s="1"/>
  <c r="D190" i="1" l="1"/>
  <c r="Z189" i="1"/>
  <c r="AA189" i="1" s="1"/>
  <c r="X186" i="2"/>
  <c r="Z185" i="2"/>
  <c r="AA185" i="2" s="1"/>
  <c r="AB186" i="3"/>
  <c r="AE185" i="3"/>
  <c r="AF185" i="3" s="1"/>
  <c r="D191" i="1" l="1"/>
  <c r="Z190" i="1"/>
  <c r="AA190" i="1" s="1"/>
  <c r="X187" i="2"/>
  <c r="Z186" i="2"/>
  <c r="AA186" i="2" s="1"/>
  <c r="AB187" i="3"/>
  <c r="AE186" i="3"/>
  <c r="AF186" i="3" s="1"/>
  <c r="D192" i="1" l="1"/>
  <c r="Z191" i="1"/>
  <c r="AA191" i="1" s="1"/>
  <c r="X188" i="2"/>
  <c r="Z187" i="2"/>
  <c r="AA187" i="2" s="1"/>
  <c r="AB188" i="3"/>
  <c r="AE187" i="3"/>
  <c r="AF187" i="3" s="1"/>
  <c r="D193" i="1" l="1"/>
  <c r="Z192" i="1"/>
  <c r="AA192" i="1" s="1"/>
  <c r="X189" i="2"/>
  <c r="Z188" i="2"/>
  <c r="AA188" i="2" s="1"/>
  <c r="AB189" i="3"/>
  <c r="AE188" i="3"/>
  <c r="AF188" i="3" s="1"/>
  <c r="D194" i="1" l="1"/>
  <c r="Z193" i="1"/>
  <c r="AA193" i="1" s="1"/>
  <c r="X190" i="2"/>
  <c r="Z189" i="2"/>
  <c r="AA189" i="2" s="1"/>
  <c r="AB190" i="3"/>
  <c r="AE189" i="3"/>
  <c r="AF189" i="3" s="1"/>
  <c r="D195" i="1" l="1"/>
  <c r="Z194" i="1"/>
  <c r="AA194" i="1" s="1"/>
  <c r="X191" i="2"/>
  <c r="Z190" i="2"/>
  <c r="AA190" i="2" s="1"/>
  <c r="AB191" i="3"/>
  <c r="AE190" i="3"/>
  <c r="AF190" i="3" s="1"/>
  <c r="D196" i="1" l="1"/>
  <c r="Z195" i="1"/>
  <c r="AA195" i="1" s="1"/>
  <c r="X192" i="2"/>
  <c r="Z191" i="2"/>
  <c r="AA191" i="2" s="1"/>
  <c r="AB192" i="3"/>
  <c r="AE191" i="3"/>
  <c r="AF191" i="3" s="1"/>
  <c r="D197" i="1" l="1"/>
  <c r="Z196" i="1"/>
  <c r="AA196" i="1" s="1"/>
  <c r="X193" i="2"/>
  <c r="Z192" i="2"/>
  <c r="AA192" i="2" s="1"/>
  <c r="AB193" i="3"/>
  <c r="AE192" i="3"/>
  <c r="AF192" i="3" s="1"/>
  <c r="D198" i="1" l="1"/>
  <c r="Z197" i="1"/>
  <c r="AA197" i="1" s="1"/>
  <c r="X194" i="2"/>
  <c r="Z193" i="2"/>
  <c r="AA193" i="2" s="1"/>
  <c r="AB194" i="3"/>
  <c r="AE193" i="3"/>
  <c r="AF193" i="3" s="1"/>
  <c r="D199" i="1" l="1"/>
  <c r="Z198" i="1"/>
  <c r="AA198" i="1" s="1"/>
  <c r="X195" i="2"/>
  <c r="Z194" i="2"/>
  <c r="AA194" i="2" s="1"/>
  <c r="AB195" i="3"/>
  <c r="AE194" i="3"/>
  <c r="AF194" i="3" s="1"/>
  <c r="D200" i="1" l="1"/>
  <c r="Z199" i="1"/>
  <c r="AA199" i="1" s="1"/>
  <c r="X196" i="2"/>
  <c r="Z195" i="2"/>
  <c r="AA195" i="2" s="1"/>
  <c r="AB196" i="3"/>
  <c r="AE195" i="3"/>
  <c r="AF195" i="3" s="1"/>
  <c r="D201" i="1" l="1"/>
  <c r="Z200" i="1"/>
  <c r="AA200" i="1" s="1"/>
  <c r="X197" i="2"/>
  <c r="Z196" i="2"/>
  <c r="AA196" i="2" s="1"/>
  <c r="AB197" i="3"/>
  <c r="AE196" i="3"/>
  <c r="AF196" i="3" s="1"/>
  <c r="D202" i="1" l="1"/>
  <c r="Z201" i="1"/>
  <c r="AA201" i="1" s="1"/>
  <c r="X198" i="2"/>
  <c r="Z197" i="2"/>
  <c r="AA197" i="2" s="1"/>
  <c r="AB198" i="3"/>
  <c r="AE197" i="3"/>
  <c r="AF197" i="3" s="1"/>
  <c r="D203" i="1" l="1"/>
  <c r="Z202" i="1"/>
  <c r="AA202" i="1" s="1"/>
  <c r="X199" i="2"/>
  <c r="Z198" i="2"/>
  <c r="AA198" i="2" s="1"/>
  <c r="AB199" i="3"/>
  <c r="AE198" i="3"/>
  <c r="AF198" i="3" s="1"/>
  <c r="D204" i="1" l="1"/>
  <c r="Z203" i="1"/>
  <c r="AA203" i="1" s="1"/>
  <c r="X200" i="2"/>
  <c r="Z199" i="2"/>
  <c r="AA199" i="2" s="1"/>
  <c r="AB200" i="3"/>
  <c r="AE199" i="3"/>
  <c r="AF199" i="3" s="1"/>
  <c r="D205" i="1" l="1"/>
  <c r="Z204" i="1"/>
  <c r="AA204" i="1" s="1"/>
  <c r="X201" i="2"/>
  <c r="Z200" i="2"/>
  <c r="AA200" i="2" s="1"/>
  <c r="AB201" i="3"/>
  <c r="AE200" i="3"/>
  <c r="AF200" i="3" s="1"/>
  <c r="D206" i="1" l="1"/>
  <c r="Z205" i="1"/>
  <c r="AA205" i="1" s="1"/>
  <c r="X202" i="2"/>
  <c r="Z201" i="2"/>
  <c r="AA201" i="2" s="1"/>
  <c r="AB202" i="3"/>
  <c r="AE201" i="3"/>
  <c r="AF201" i="3" s="1"/>
  <c r="D207" i="1" l="1"/>
  <c r="Z206" i="1"/>
  <c r="AA206" i="1" s="1"/>
  <c r="X203" i="2"/>
  <c r="Z202" i="2"/>
  <c r="AA202" i="2" s="1"/>
  <c r="AB203" i="3"/>
  <c r="AE202" i="3"/>
  <c r="AF202" i="3" s="1"/>
  <c r="D208" i="1" l="1"/>
  <c r="Z207" i="1"/>
  <c r="AA207" i="1" s="1"/>
  <c r="X204" i="2"/>
  <c r="Z203" i="2"/>
  <c r="AA203" i="2" s="1"/>
  <c r="AB204" i="3"/>
  <c r="AE203" i="3"/>
  <c r="AF203" i="3" s="1"/>
  <c r="D209" i="1" l="1"/>
  <c r="Z208" i="1"/>
  <c r="AA208" i="1" s="1"/>
  <c r="X205" i="2"/>
  <c r="Z204" i="2"/>
  <c r="AA204" i="2" s="1"/>
  <c r="AB205" i="3"/>
  <c r="AE204" i="3"/>
  <c r="AF204" i="3" s="1"/>
  <c r="D210" i="1" l="1"/>
  <c r="Z209" i="1"/>
  <c r="AA209" i="1" s="1"/>
  <c r="X206" i="2"/>
  <c r="Z205" i="2"/>
  <c r="AA205" i="2" s="1"/>
  <c r="AB206" i="3"/>
  <c r="AE205" i="3"/>
  <c r="AF205" i="3" s="1"/>
  <c r="D211" i="1" l="1"/>
  <c r="Z210" i="1"/>
  <c r="AA210" i="1" s="1"/>
  <c r="X207" i="2"/>
  <c r="Z206" i="2"/>
  <c r="AA206" i="2" s="1"/>
  <c r="AB207" i="3"/>
  <c r="AE206" i="3"/>
  <c r="AF206" i="3" s="1"/>
  <c r="D212" i="1" l="1"/>
  <c r="Z211" i="1"/>
  <c r="AA211" i="1" s="1"/>
  <c r="X208" i="2"/>
  <c r="Z207" i="2"/>
  <c r="AA207" i="2" s="1"/>
  <c r="AB208" i="3"/>
  <c r="AE207" i="3"/>
  <c r="AF207" i="3" s="1"/>
  <c r="D213" i="1" l="1"/>
  <c r="Z212" i="1"/>
  <c r="AA212" i="1" s="1"/>
  <c r="X209" i="2"/>
  <c r="Z208" i="2"/>
  <c r="AA208" i="2" s="1"/>
  <c r="AB209" i="3"/>
  <c r="AE208" i="3"/>
  <c r="AF208" i="3" s="1"/>
  <c r="D214" i="1" l="1"/>
  <c r="Z213" i="1"/>
  <c r="AA213" i="1" s="1"/>
  <c r="X210" i="2"/>
  <c r="Z209" i="2"/>
  <c r="AA209" i="2" s="1"/>
  <c r="AB210" i="3"/>
  <c r="AE209" i="3"/>
  <c r="AF209" i="3" s="1"/>
  <c r="D215" i="1" l="1"/>
  <c r="Z214" i="1"/>
  <c r="AA214" i="1" s="1"/>
  <c r="X211" i="2"/>
  <c r="Z210" i="2"/>
  <c r="AA210" i="2" s="1"/>
  <c r="AB211" i="3"/>
  <c r="AE210" i="3"/>
  <c r="AF210" i="3" s="1"/>
  <c r="D216" i="1" l="1"/>
  <c r="Z215" i="1"/>
  <c r="AA215" i="1" s="1"/>
  <c r="X212" i="2"/>
  <c r="Z211" i="2"/>
  <c r="AA211" i="2" s="1"/>
  <c r="AB212" i="3"/>
  <c r="AE211" i="3"/>
  <c r="AF211" i="3" s="1"/>
  <c r="D217" i="1" l="1"/>
  <c r="Z216" i="1"/>
  <c r="AA216" i="1" s="1"/>
  <c r="X213" i="2"/>
  <c r="Z212" i="2"/>
  <c r="AA212" i="2" s="1"/>
  <c r="AB213" i="3"/>
  <c r="AE212" i="3"/>
  <c r="AF212" i="3" s="1"/>
  <c r="D218" i="1" l="1"/>
  <c r="Z217" i="1"/>
  <c r="AA217" i="1" s="1"/>
  <c r="X214" i="2"/>
  <c r="Z213" i="2"/>
  <c r="AA213" i="2" s="1"/>
  <c r="AB214" i="3"/>
  <c r="AE213" i="3"/>
  <c r="AF213" i="3" s="1"/>
  <c r="D219" i="1" l="1"/>
  <c r="Z218" i="1"/>
  <c r="AA218" i="1" s="1"/>
  <c r="X215" i="2"/>
  <c r="Z214" i="2"/>
  <c r="AA214" i="2" s="1"/>
  <c r="AB215" i="3"/>
  <c r="AE214" i="3"/>
  <c r="AF214" i="3" s="1"/>
  <c r="D220" i="1" l="1"/>
  <c r="Z219" i="1"/>
  <c r="AA219" i="1" s="1"/>
  <c r="X216" i="2"/>
  <c r="Z215" i="2"/>
  <c r="AA215" i="2" s="1"/>
  <c r="AB216" i="3"/>
  <c r="AE215" i="3"/>
  <c r="AF215" i="3" s="1"/>
  <c r="D221" i="1" l="1"/>
  <c r="Z220" i="1"/>
  <c r="AA220" i="1" s="1"/>
  <c r="X217" i="2"/>
  <c r="Z216" i="2"/>
  <c r="AA216" i="2" s="1"/>
  <c r="AB217" i="3"/>
  <c r="AE216" i="3"/>
  <c r="AF216" i="3" s="1"/>
  <c r="D222" i="1" l="1"/>
  <c r="Z221" i="1"/>
  <c r="AA221" i="1" s="1"/>
  <c r="X218" i="2"/>
  <c r="Z217" i="2"/>
  <c r="AA217" i="2" s="1"/>
  <c r="AB218" i="3"/>
  <c r="AE217" i="3"/>
  <c r="AF217" i="3" s="1"/>
  <c r="D223" i="1" l="1"/>
  <c r="Z222" i="1"/>
  <c r="AA222" i="1" s="1"/>
  <c r="X219" i="2"/>
  <c r="Z218" i="2"/>
  <c r="AA218" i="2" s="1"/>
  <c r="AB219" i="3"/>
  <c r="AE218" i="3"/>
  <c r="AF218" i="3" s="1"/>
  <c r="D224" i="1" l="1"/>
  <c r="Z223" i="1"/>
  <c r="AA223" i="1" s="1"/>
  <c r="X220" i="2"/>
  <c r="Z219" i="2"/>
  <c r="AA219" i="2" s="1"/>
  <c r="AB220" i="3"/>
  <c r="AE219" i="3"/>
  <c r="AF219" i="3" s="1"/>
  <c r="D225" i="1" l="1"/>
  <c r="Z224" i="1"/>
  <c r="AA224" i="1" s="1"/>
  <c r="X221" i="2"/>
  <c r="Z220" i="2"/>
  <c r="AA220" i="2" s="1"/>
  <c r="AB221" i="3"/>
  <c r="AE220" i="3"/>
  <c r="AF220" i="3" s="1"/>
  <c r="D226" i="1" l="1"/>
  <c r="Z225" i="1"/>
  <c r="AA225" i="1" s="1"/>
  <c r="X222" i="2"/>
  <c r="Z221" i="2"/>
  <c r="AA221" i="2" s="1"/>
  <c r="AB222" i="3"/>
  <c r="AE221" i="3"/>
  <c r="AF221" i="3" s="1"/>
  <c r="D227" i="1" l="1"/>
  <c r="Z226" i="1"/>
  <c r="AA226" i="1" s="1"/>
  <c r="X223" i="2"/>
  <c r="Z222" i="2"/>
  <c r="AA222" i="2" s="1"/>
  <c r="AB223" i="3"/>
  <c r="AE222" i="3"/>
  <c r="AF222" i="3" s="1"/>
  <c r="D228" i="1" l="1"/>
  <c r="Z227" i="1"/>
  <c r="AA227" i="1" s="1"/>
  <c r="X224" i="2"/>
  <c r="Z223" i="2"/>
  <c r="AA223" i="2" s="1"/>
  <c r="AB224" i="3"/>
  <c r="AE223" i="3"/>
  <c r="AF223" i="3" s="1"/>
  <c r="D229" i="1" l="1"/>
  <c r="Z228" i="1"/>
  <c r="AA228" i="1" s="1"/>
  <c r="X225" i="2"/>
  <c r="Z224" i="2"/>
  <c r="AA224" i="2" s="1"/>
  <c r="AB225" i="3"/>
  <c r="AE224" i="3"/>
  <c r="AF224" i="3" s="1"/>
  <c r="D230" i="1" l="1"/>
  <c r="Z229" i="1"/>
  <c r="AA229" i="1" s="1"/>
  <c r="X226" i="2"/>
  <c r="Z225" i="2"/>
  <c r="AA225" i="2" s="1"/>
  <c r="AB226" i="3"/>
  <c r="AE225" i="3"/>
  <c r="AF225" i="3" s="1"/>
  <c r="D231" i="1" l="1"/>
  <c r="Z230" i="1"/>
  <c r="AA230" i="1" s="1"/>
  <c r="X227" i="2"/>
  <c r="Z226" i="2"/>
  <c r="AA226" i="2" s="1"/>
  <c r="AB227" i="3"/>
  <c r="AE226" i="3"/>
  <c r="AF226" i="3" s="1"/>
  <c r="D232" i="1" l="1"/>
  <c r="Z231" i="1"/>
  <c r="AA231" i="1" s="1"/>
  <c r="X228" i="2"/>
  <c r="Z227" i="2"/>
  <c r="AA227" i="2" s="1"/>
  <c r="AB228" i="3"/>
  <c r="AE227" i="3"/>
  <c r="AF227" i="3" s="1"/>
  <c r="D233" i="1" l="1"/>
  <c r="Z232" i="1"/>
  <c r="AA232" i="1" s="1"/>
  <c r="X229" i="2"/>
  <c r="Z228" i="2"/>
  <c r="AA228" i="2" s="1"/>
  <c r="AB229" i="3"/>
  <c r="AE228" i="3"/>
  <c r="AF228" i="3" s="1"/>
  <c r="D234" i="1" l="1"/>
  <c r="Z233" i="1"/>
  <c r="AA233" i="1" s="1"/>
  <c r="X230" i="2"/>
  <c r="Z229" i="2"/>
  <c r="AA229" i="2" s="1"/>
  <c r="AB230" i="3"/>
  <c r="AE229" i="3"/>
  <c r="AF229" i="3" s="1"/>
  <c r="D235" i="1" l="1"/>
  <c r="Z234" i="1"/>
  <c r="AA234" i="1" s="1"/>
  <c r="X231" i="2"/>
  <c r="Z230" i="2"/>
  <c r="AA230" i="2" s="1"/>
  <c r="AB231" i="3"/>
  <c r="AE230" i="3"/>
  <c r="AF230" i="3" s="1"/>
  <c r="D236" i="1" l="1"/>
  <c r="Z235" i="1"/>
  <c r="AA235" i="1" s="1"/>
  <c r="X232" i="2"/>
  <c r="Z231" i="2"/>
  <c r="AA231" i="2" s="1"/>
  <c r="AB232" i="3"/>
  <c r="AE231" i="3"/>
  <c r="AF231" i="3" s="1"/>
  <c r="D237" i="1" l="1"/>
  <c r="Z236" i="1"/>
  <c r="AA236" i="1" s="1"/>
  <c r="X233" i="2"/>
  <c r="Z232" i="2"/>
  <c r="AA232" i="2" s="1"/>
  <c r="AB233" i="3"/>
  <c r="AE232" i="3"/>
  <c r="AF232" i="3" s="1"/>
  <c r="D238" i="1" l="1"/>
  <c r="Z237" i="1"/>
  <c r="AA237" i="1" s="1"/>
  <c r="X234" i="2"/>
  <c r="Z233" i="2"/>
  <c r="AA233" i="2" s="1"/>
  <c r="AB234" i="3"/>
  <c r="AE233" i="3"/>
  <c r="AF233" i="3" s="1"/>
  <c r="D239" i="1" l="1"/>
  <c r="Z238" i="1"/>
  <c r="AA238" i="1" s="1"/>
  <c r="X235" i="2"/>
  <c r="Z234" i="2"/>
  <c r="AA234" i="2" s="1"/>
  <c r="AB235" i="3"/>
  <c r="AE234" i="3"/>
  <c r="AF234" i="3" s="1"/>
  <c r="D240" i="1" l="1"/>
  <c r="Z239" i="1"/>
  <c r="AA239" i="1" s="1"/>
  <c r="X236" i="2"/>
  <c r="Z235" i="2"/>
  <c r="AA235" i="2" s="1"/>
  <c r="AB236" i="3"/>
  <c r="AE235" i="3"/>
  <c r="AF235" i="3" s="1"/>
  <c r="D241" i="1" l="1"/>
  <c r="Z240" i="1"/>
  <c r="AA240" i="1" s="1"/>
  <c r="X237" i="2"/>
  <c r="Z236" i="2"/>
  <c r="AA236" i="2" s="1"/>
  <c r="AB237" i="3"/>
  <c r="AE236" i="3"/>
  <c r="AF236" i="3" s="1"/>
  <c r="D242" i="1" l="1"/>
  <c r="Z241" i="1"/>
  <c r="AA241" i="1" s="1"/>
  <c r="X238" i="2"/>
  <c r="Z237" i="2"/>
  <c r="AA237" i="2" s="1"/>
  <c r="AB238" i="3"/>
  <c r="AE237" i="3"/>
  <c r="AF237" i="3" s="1"/>
  <c r="D243" i="1" l="1"/>
  <c r="Z242" i="1"/>
  <c r="AA242" i="1" s="1"/>
  <c r="X239" i="2"/>
  <c r="Z238" i="2"/>
  <c r="AA238" i="2" s="1"/>
  <c r="AB239" i="3"/>
  <c r="AE238" i="3"/>
  <c r="AF238" i="3" s="1"/>
  <c r="D244" i="1" l="1"/>
  <c r="Z243" i="1"/>
  <c r="AA243" i="1" s="1"/>
  <c r="X240" i="2"/>
  <c r="Z239" i="2"/>
  <c r="AA239" i="2" s="1"/>
  <c r="AB240" i="3"/>
  <c r="AE239" i="3"/>
  <c r="AF239" i="3" s="1"/>
  <c r="D245" i="1" l="1"/>
  <c r="Z244" i="1"/>
  <c r="AA244" i="1" s="1"/>
  <c r="X241" i="2"/>
  <c r="Z240" i="2"/>
  <c r="AA240" i="2" s="1"/>
  <c r="AB241" i="3"/>
  <c r="AE240" i="3"/>
  <c r="AF240" i="3" s="1"/>
  <c r="D246" i="1" l="1"/>
  <c r="Z245" i="1"/>
  <c r="AA245" i="1" s="1"/>
  <c r="X242" i="2"/>
  <c r="Z241" i="2"/>
  <c r="AA241" i="2" s="1"/>
  <c r="AB242" i="3"/>
  <c r="AE241" i="3"/>
  <c r="AF241" i="3" s="1"/>
  <c r="D247" i="1" l="1"/>
  <c r="Z246" i="1"/>
  <c r="AA246" i="1" s="1"/>
  <c r="X243" i="2"/>
  <c r="Z242" i="2"/>
  <c r="AA242" i="2" s="1"/>
  <c r="AB243" i="3"/>
  <c r="AE242" i="3"/>
  <c r="AF242" i="3" s="1"/>
  <c r="D248" i="1" l="1"/>
  <c r="Z247" i="1"/>
  <c r="AA247" i="1" s="1"/>
  <c r="X244" i="2"/>
  <c r="Z243" i="2"/>
  <c r="AA243" i="2" s="1"/>
  <c r="AB244" i="3"/>
  <c r="AE243" i="3"/>
  <c r="AF243" i="3" s="1"/>
  <c r="D249" i="1" l="1"/>
  <c r="Z248" i="1"/>
  <c r="AA248" i="1" s="1"/>
  <c r="X245" i="2"/>
  <c r="Z244" i="2"/>
  <c r="AA244" i="2" s="1"/>
  <c r="AB245" i="3"/>
  <c r="AE244" i="3"/>
  <c r="AF244" i="3" s="1"/>
  <c r="D250" i="1" l="1"/>
  <c r="Z249" i="1"/>
  <c r="AA249" i="1" s="1"/>
  <c r="X246" i="2"/>
  <c r="Z245" i="2"/>
  <c r="AA245" i="2" s="1"/>
  <c r="AB246" i="3"/>
  <c r="AE245" i="3"/>
  <c r="AF245" i="3" s="1"/>
  <c r="D251" i="1" l="1"/>
  <c r="D252" i="1" s="1"/>
  <c r="D253" i="1" s="1"/>
  <c r="D254" i="1" s="1"/>
  <c r="D255" i="1" s="1"/>
  <c r="D256" i="1" s="1"/>
  <c r="D257" i="1" s="1"/>
  <c r="Z250" i="1"/>
  <c r="AA250" i="1" s="1"/>
  <c r="X247" i="2"/>
  <c r="Z246" i="2"/>
  <c r="AA246" i="2" s="1"/>
  <c r="AB247" i="3"/>
  <c r="AE246" i="3"/>
  <c r="AF246" i="3" s="1"/>
  <c r="AC5" i="1" l="1"/>
  <c r="AC3" i="1"/>
  <c r="X248" i="2"/>
  <c r="Z247" i="2"/>
  <c r="AA247" i="2" s="1"/>
  <c r="AB248" i="3"/>
  <c r="AE247" i="3"/>
  <c r="AF247" i="3" s="1"/>
  <c r="X249" i="2" l="1"/>
  <c r="Z248" i="2"/>
  <c r="AA248" i="2" s="1"/>
  <c r="AB249" i="3"/>
  <c r="AE248" i="3"/>
  <c r="AF248" i="3" s="1"/>
  <c r="X250" i="2" l="1"/>
  <c r="Z249" i="2"/>
  <c r="AA249" i="2" s="1"/>
  <c r="AB250" i="3"/>
  <c r="AE250" i="3" s="1"/>
  <c r="AE249" i="3"/>
  <c r="AF249" i="3" s="1"/>
  <c r="X251" i="2" l="1"/>
  <c r="Z251" i="2" s="1"/>
  <c r="Z250" i="2"/>
  <c r="AA250" i="2" s="1"/>
  <c r="AF250" i="3"/>
  <c r="AS15" i="3" s="1"/>
  <c r="AA251" i="2" l="1"/>
  <c r="AN9" i="3"/>
  <c r="AN5" i="3"/>
  <c r="AC8" i="2" l="1"/>
  <c r="AC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<sst xmlns="http://schemas.openxmlformats.org/spreadsheetml/2006/main" count="186" uniqueCount="53">
  <si>
    <t xml:space="preserve">Date  </t>
  </si>
  <si>
    <t xml:space="preserve">Close Price  </t>
  </si>
  <si>
    <t>Close Price  Infy</t>
  </si>
  <si>
    <t>SBIN Return</t>
  </si>
  <si>
    <t>Infy Return</t>
  </si>
  <si>
    <t>SUN Return</t>
  </si>
  <si>
    <t>Maruti Return</t>
  </si>
  <si>
    <t>ULTRA Return</t>
  </si>
  <si>
    <t>Starting Value</t>
  </si>
  <si>
    <t>Weight</t>
  </si>
  <si>
    <t>Daily Return</t>
  </si>
  <si>
    <t>&lt;-- Port SD</t>
  </si>
  <si>
    <t>Average Return</t>
  </si>
  <si>
    <t>TATA Power Return</t>
  </si>
  <si>
    <t>Adani Green Return</t>
  </si>
  <si>
    <t>JSW Energy Return</t>
  </si>
  <si>
    <t>Suzlon Return</t>
  </si>
  <si>
    <t>NTPC Return</t>
  </si>
  <si>
    <t>PD STD</t>
  </si>
  <si>
    <t>Average return</t>
  </si>
  <si>
    <t>PD Risk</t>
  </si>
  <si>
    <t>Excess Return</t>
  </si>
  <si>
    <t>Weight/Stock Value</t>
  </si>
  <si>
    <t>Adani Green</t>
  </si>
  <si>
    <t>TATA Power</t>
  </si>
  <si>
    <t>Ultra Tech</t>
  </si>
  <si>
    <t>SBI</t>
  </si>
  <si>
    <t>Infosys ltd</t>
  </si>
  <si>
    <t>SBIN</t>
  </si>
  <si>
    <t>Infosys</t>
  </si>
  <si>
    <t>Tata Power</t>
  </si>
  <si>
    <t>Matrix Transpose * Matrix</t>
  </si>
  <si>
    <t>Size of Variance and Covariance</t>
  </si>
  <si>
    <t xml:space="preserve">Calculating Risk through Variance Formula </t>
  </si>
  <si>
    <t>Calculating Risk through matrix * matrix transpose</t>
  </si>
  <si>
    <t>Standard Deviation of Stock</t>
  </si>
  <si>
    <t>Product of SD</t>
  </si>
  <si>
    <t>Correlation Matrix</t>
  </si>
  <si>
    <t>Weighted Standard Deviation</t>
  </si>
  <si>
    <t>M2</t>
  </si>
  <si>
    <t>Portfolio Variance</t>
  </si>
  <si>
    <t xml:space="preserve">M1 </t>
  </si>
  <si>
    <t>Stock</t>
  </si>
  <si>
    <t>Daily Average</t>
  </si>
  <si>
    <t>Expected Port Return</t>
  </si>
  <si>
    <t>Expected year return</t>
  </si>
  <si>
    <t>Expected Port Variance</t>
  </si>
  <si>
    <t>Expected Stock Returns</t>
  </si>
  <si>
    <t>Correlation Coefficient</t>
  </si>
  <si>
    <t>STD (Sigma R1, R2)</t>
  </si>
  <si>
    <t>Risk Free</t>
  </si>
  <si>
    <t>w1</t>
  </si>
  <si>
    <t>Yearly  Average E(R1,R2)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</si>
</sst>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0%"/>
    <numFmt numFmtId="166" formatCode="0.00000000"/>
    <numFmt numFmtId="167" formatCode="0.0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3"/>
      <color theme="3" tint="0.749992370372631"/>
      <name val="Aptos Narrow"/>
      <family val="2"/>
      <scheme val="minor"/>
    </font>
    <font>
      <sz val="10"/>
      <color theme="1"/>
      <name val="Open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15" fontId="0" fillId="0" borderId="0" xfId="0" applyNumberFormat="1"/>
    <xf numFmtId="4" fontId="0" fillId="0" borderId="0" xfId="0" applyNumberFormat="1"/>
    <xf numFmtId="10" fontId="0" fillId="0" borderId="0" xfId="1" applyNumberFormat="1" applyFont="1"/>
    <xf numFmtId="0" fontId="0" fillId="0" borderId="0" xfId="1" applyNumberFormat="1" applyFont="1"/>
    <xf numFmtId="9" fontId="0" fillId="0" borderId="0" xfId="0" applyNumberFormat="1"/>
    <xf numFmtId="164" fontId="0" fillId="2" borderId="0" xfId="1" applyNumberFormat="1" applyFont="1" applyFill="1"/>
    <xf numFmtId="165" fontId="0" fillId="2" borderId="0" xfId="1" applyNumberFormat="1" applyFont="1" applyFill="1"/>
    <xf numFmtId="0" fontId="0" fillId="3" borderId="0" xfId="0" applyFill="1"/>
    <xf numFmtId="164" fontId="0" fillId="4" borderId="0" xfId="1" applyNumberFormat="1" applyFont="1" applyFill="1"/>
    <xf numFmtId="165" fontId="0" fillId="0" borderId="0" xfId="0" applyNumberFormat="1"/>
    <xf numFmtId="9" fontId="0" fillId="0" borderId="0" xfId="1" applyFont="1"/>
    <xf numFmtId="10" fontId="0" fillId="2" borderId="0" xfId="1" applyNumberFormat="1" applyFont="1" applyFill="1"/>
    <xf numFmtId="0" fontId="3" fillId="0" borderId="0" xfId="0" applyFont="1"/>
    <xf numFmtId="0" fontId="3" fillId="3" borderId="0" xfId="0" applyFont="1" applyFill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0" fillId="5" borderId="0" xfId="0" applyNumberFormat="1" applyFill="1"/>
    <xf numFmtId="0" fontId="0" fillId="4" borderId="0" xfId="0" applyFill="1"/>
    <xf numFmtId="0" fontId="2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67" fontId="0" fillId="5" borderId="0" xfId="0" applyNumberFormat="1" applyFill="1"/>
    <xf numFmtId="167" fontId="0" fillId="11" borderId="0" xfId="0" applyNumberFormat="1" applyFill="1"/>
    <xf numFmtId="0" fontId="4" fillId="0" borderId="0" xfId="0" applyFont="1"/>
    <xf numFmtId="0" fontId="0" fillId="12" borderId="0" xfId="0" applyFill="1"/>
    <xf numFmtId="2" fontId="0" fillId="12" borderId="0" xfId="0" applyNumberFormat="1" applyFill="1"/>
    <xf numFmtId="10" fontId="0" fillId="12" borderId="0" xfId="1" applyNumberFormat="1" applyFont="1" applyFill="1"/>
    <xf numFmtId="0" fontId="4" fillId="0" borderId="1" xfId="0" applyFont="1" applyBorder="1"/>
    <xf numFmtId="0" fontId="4" fillId="0" borderId="3" xfId="0" applyFont="1" applyBorder="1"/>
    <xf numFmtId="10" fontId="0" fillId="0" borderId="4" xfId="1" applyNumberFormat="1" applyFont="1" applyBorder="1"/>
    <xf numFmtId="0" fontId="5" fillId="0" borderId="0" xfId="0" applyFont="1"/>
    <xf numFmtId="164" fontId="0" fillId="4" borderId="0" xfId="0" applyNumberFormat="1" applyFill="1"/>
    <xf numFmtId="10" fontId="0" fillId="0" borderId="2" xfId="0" applyNumberFormat="1" applyBorder="1"/>
    <xf numFmtId="10" fontId="0" fillId="0" borderId="0" xfId="0" applyNumberFormat="1"/>
    <xf numFmtId="0" fontId="6" fillId="0" borderId="0" xfId="0" applyFont="1"/>
  </cellXfs>
  <cellStyles count="2">
    <cellStyle name="Normal" xfId="0" builtinId="0"/>
    <cellStyle name="Percent" xfId="1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000%"/>
    </dxf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  <dxf>
      <numFmt numFmtId="4" formatCode="#,##0.00"/>
    </dxf>
    <dxf>
      <numFmt numFmtId="20" formatCode="dd/mmm/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0" formatCode="dd/mmm/yy"/>
    </dxf>
    <dxf>
      <numFmt numFmtId="4" formatCode="#,##0.00"/>
    </dxf>
    <dxf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4" formatCode="#,##0.00"/>
    </dxf>
    <dxf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4" formatCode="#,##0.00"/>
    </dxf>
    <dxf>
      <numFmt numFmtId="20" formatCode="dd/mmm/yy"/>
    </dxf>
    <dxf>
      <numFmt numFmtId="4" formatCode="#,##0.00"/>
    </dxf>
    <dxf>
      <numFmt numFmtId="20" formatCode="dd/mmm/yy"/>
    </dxf>
    <dxf>
      <numFmt numFmtId="4" formatCode="#,##0.00"/>
    </dxf>
    <dxf>
      <numFmt numFmtId="20" formatCode="dd/mmm/yy"/>
    </dxf>
    <dxf>
      <numFmt numFmtId="20" formatCode="dd/mmm/yy"/>
    </dxf>
    <dxf>
      <numFmt numFmtId="20" formatCode="dd/mmm/yy"/>
    </dxf>
  </dxfs>
  <tableStyles count="0" defaultTableStyle="TableStyleMedium2" defaultPivotStyle="PivotStyleLight16"/>
  <colors>
    <mruColors>
      <color rgb="FFFF7C8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Infosys Close Price</a:t>
            </a:r>
          </a:p>
          <a:p>
            <a:pPr>
              <a:defRPr/>
            </a:pPr>
            <a:r>
              <a:rPr lang="en-IN" sz="900"/>
              <a:t>27-02-2025</a:t>
            </a:r>
            <a:r>
              <a:rPr lang="en-IN" sz="900" baseline="0"/>
              <a:t> to 25-02-2026</a:t>
            </a:r>
            <a:r>
              <a:rPr lang="en-IN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'Brown Stocks'!$B$3</c:f>
              <c:strCache>
                <c:ptCount val="1"/>
                <c:pt idx="0">
                  <c:v>Close Price  Infy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'Brown Stocks'!$A$4:$A$257</c:f>
              <c:numCache>
                <c:formatCode>d\-mmm\-yy</c:formatCode>
                <c:ptCount val="254"/>
                <c:pt idx="0">
                  <c:v>45715</c:v>
                </c:pt>
                <c:pt idx="1">
                  <c:v>45716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45726</c:v>
                </c:pt>
                <c:pt idx="8">
                  <c:v>45727</c:v>
                </c:pt>
                <c:pt idx="9">
                  <c:v>45727</c:v>
                </c:pt>
                <c:pt idx="10">
                  <c:v>45728</c:v>
                </c:pt>
                <c:pt idx="11">
                  <c:v>45728</c:v>
                </c:pt>
                <c:pt idx="12">
                  <c:v>45729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45748</c:v>
                </c:pt>
                <c:pt idx="24">
                  <c:v>45749</c:v>
                </c:pt>
                <c:pt idx="25">
                  <c:v>45750</c:v>
                </c:pt>
                <c:pt idx="26">
                  <c:v>45751</c:v>
                </c:pt>
                <c:pt idx="27">
                  <c:v>45754</c:v>
                </c:pt>
                <c:pt idx="28">
                  <c:v>45755</c:v>
                </c:pt>
                <c:pt idx="29">
                  <c:v>45756</c:v>
                </c:pt>
                <c:pt idx="30">
                  <c:v>45758</c:v>
                </c:pt>
                <c:pt idx="31">
                  <c:v>45762</c:v>
                </c:pt>
                <c:pt idx="32">
                  <c:v>45763</c:v>
                </c:pt>
                <c:pt idx="33">
                  <c:v>45764</c:v>
                </c:pt>
                <c:pt idx="34">
                  <c:v>45768</c:v>
                </c:pt>
                <c:pt idx="35">
                  <c:v>45769</c:v>
                </c:pt>
                <c:pt idx="36">
                  <c:v>45770</c:v>
                </c:pt>
                <c:pt idx="37">
                  <c:v>45771</c:v>
                </c:pt>
                <c:pt idx="38">
                  <c:v>45772</c:v>
                </c:pt>
                <c:pt idx="39">
                  <c:v>45775</c:v>
                </c:pt>
                <c:pt idx="40">
                  <c:v>45776</c:v>
                </c:pt>
                <c:pt idx="41">
                  <c:v>45777</c:v>
                </c:pt>
                <c:pt idx="42">
                  <c:v>45779</c:v>
                </c:pt>
                <c:pt idx="43">
                  <c:v>45782</c:v>
                </c:pt>
                <c:pt idx="44">
                  <c:v>45783</c:v>
                </c:pt>
                <c:pt idx="45">
                  <c:v>45784</c:v>
                </c:pt>
                <c:pt idx="46">
                  <c:v>45785</c:v>
                </c:pt>
                <c:pt idx="47">
                  <c:v>45786</c:v>
                </c:pt>
                <c:pt idx="48">
                  <c:v>45789</c:v>
                </c:pt>
                <c:pt idx="49">
                  <c:v>45790</c:v>
                </c:pt>
                <c:pt idx="50">
                  <c:v>45791</c:v>
                </c:pt>
                <c:pt idx="51">
                  <c:v>45792</c:v>
                </c:pt>
                <c:pt idx="52">
                  <c:v>45793</c:v>
                </c:pt>
                <c:pt idx="53">
                  <c:v>45796</c:v>
                </c:pt>
                <c:pt idx="54">
                  <c:v>45797</c:v>
                </c:pt>
                <c:pt idx="55">
                  <c:v>45798</c:v>
                </c:pt>
                <c:pt idx="56">
                  <c:v>45799</c:v>
                </c:pt>
                <c:pt idx="57">
                  <c:v>45800</c:v>
                </c:pt>
                <c:pt idx="58">
                  <c:v>45803</c:v>
                </c:pt>
                <c:pt idx="59">
                  <c:v>45804</c:v>
                </c:pt>
                <c:pt idx="60">
                  <c:v>45805</c:v>
                </c:pt>
                <c:pt idx="61">
                  <c:v>45806</c:v>
                </c:pt>
                <c:pt idx="62">
                  <c:v>45807</c:v>
                </c:pt>
                <c:pt idx="63">
                  <c:v>45810</c:v>
                </c:pt>
                <c:pt idx="64">
                  <c:v>45811</c:v>
                </c:pt>
                <c:pt idx="65">
                  <c:v>45812</c:v>
                </c:pt>
                <c:pt idx="66">
                  <c:v>45813</c:v>
                </c:pt>
                <c:pt idx="67">
                  <c:v>45814</c:v>
                </c:pt>
                <c:pt idx="68">
                  <c:v>45817</c:v>
                </c:pt>
                <c:pt idx="69">
                  <c:v>45818</c:v>
                </c:pt>
                <c:pt idx="70">
                  <c:v>45819</c:v>
                </c:pt>
                <c:pt idx="71">
                  <c:v>45820</c:v>
                </c:pt>
                <c:pt idx="72">
                  <c:v>45821</c:v>
                </c:pt>
                <c:pt idx="73">
                  <c:v>45824</c:v>
                </c:pt>
                <c:pt idx="74">
                  <c:v>45825</c:v>
                </c:pt>
                <c:pt idx="75">
                  <c:v>45826</c:v>
                </c:pt>
                <c:pt idx="76">
                  <c:v>45827</c:v>
                </c:pt>
                <c:pt idx="77">
                  <c:v>45828</c:v>
                </c:pt>
                <c:pt idx="78">
                  <c:v>45831</c:v>
                </c:pt>
                <c:pt idx="79">
                  <c:v>45832</c:v>
                </c:pt>
                <c:pt idx="80">
                  <c:v>45833</c:v>
                </c:pt>
                <c:pt idx="81">
                  <c:v>45834</c:v>
                </c:pt>
                <c:pt idx="82">
                  <c:v>45835</c:v>
                </c:pt>
                <c:pt idx="83">
                  <c:v>45838</c:v>
                </c:pt>
                <c:pt idx="84">
                  <c:v>45839</c:v>
                </c:pt>
                <c:pt idx="85">
                  <c:v>45840</c:v>
                </c:pt>
                <c:pt idx="86">
                  <c:v>45841</c:v>
                </c:pt>
                <c:pt idx="87">
                  <c:v>45842</c:v>
                </c:pt>
                <c:pt idx="88">
                  <c:v>45845</c:v>
                </c:pt>
                <c:pt idx="89">
                  <c:v>45846</c:v>
                </c:pt>
                <c:pt idx="90">
                  <c:v>45847</c:v>
                </c:pt>
                <c:pt idx="91">
                  <c:v>45848</c:v>
                </c:pt>
                <c:pt idx="92">
                  <c:v>45849</c:v>
                </c:pt>
                <c:pt idx="93">
                  <c:v>45852</c:v>
                </c:pt>
                <c:pt idx="94">
                  <c:v>45853</c:v>
                </c:pt>
                <c:pt idx="95">
                  <c:v>45854</c:v>
                </c:pt>
                <c:pt idx="96">
                  <c:v>45855</c:v>
                </c:pt>
                <c:pt idx="97">
                  <c:v>45856</c:v>
                </c:pt>
                <c:pt idx="98">
                  <c:v>45859</c:v>
                </c:pt>
                <c:pt idx="99">
                  <c:v>45860</c:v>
                </c:pt>
                <c:pt idx="100">
                  <c:v>45861</c:v>
                </c:pt>
                <c:pt idx="101">
                  <c:v>45862</c:v>
                </c:pt>
                <c:pt idx="102">
                  <c:v>45863</c:v>
                </c:pt>
                <c:pt idx="103">
                  <c:v>45866</c:v>
                </c:pt>
                <c:pt idx="104">
                  <c:v>45867</c:v>
                </c:pt>
                <c:pt idx="105">
                  <c:v>45868</c:v>
                </c:pt>
                <c:pt idx="106">
                  <c:v>45869</c:v>
                </c:pt>
                <c:pt idx="107">
                  <c:v>45870</c:v>
                </c:pt>
                <c:pt idx="108">
                  <c:v>45873</c:v>
                </c:pt>
                <c:pt idx="109">
                  <c:v>45874</c:v>
                </c:pt>
                <c:pt idx="110">
                  <c:v>45875</c:v>
                </c:pt>
                <c:pt idx="111">
                  <c:v>45876</c:v>
                </c:pt>
                <c:pt idx="112">
                  <c:v>45877</c:v>
                </c:pt>
                <c:pt idx="113">
                  <c:v>45880</c:v>
                </c:pt>
                <c:pt idx="114">
                  <c:v>45881</c:v>
                </c:pt>
                <c:pt idx="115">
                  <c:v>45882</c:v>
                </c:pt>
                <c:pt idx="116">
                  <c:v>45883</c:v>
                </c:pt>
                <c:pt idx="117">
                  <c:v>45887</c:v>
                </c:pt>
                <c:pt idx="118">
                  <c:v>45888</c:v>
                </c:pt>
                <c:pt idx="119">
                  <c:v>45889</c:v>
                </c:pt>
                <c:pt idx="120">
                  <c:v>45890</c:v>
                </c:pt>
                <c:pt idx="121">
                  <c:v>45891</c:v>
                </c:pt>
                <c:pt idx="122">
                  <c:v>45894</c:v>
                </c:pt>
                <c:pt idx="123">
                  <c:v>45895</c:v>
                </c:pt>
                <c:pt idx="124">
                  <c:v>45897</c:v>
                </c:pt>
                <c:pt idx="125">
                  <c:v>45898</c:v>
                </c:pt>
                <c:pt idx="126">
                  <c:v>45901</c:v>
                </c:pt>
                <c:pt idx="127">
                  <c:v>45902</c:v>
                </c:pt>
                <c:pt idx="128">
                  <c:v>45903</c:v>
                </c:pt>
                <c:pt idx="129">
                  <c:v>45904</c:v>
                </c:pt>
                <c:pt idx="130">
                  <c:v>45905</c:v>
                </c:pt>
                <c:pt idx="131">
                  <c:v>45908</c:v>
                </c:pt>
                <c:pt idx="132">
                  <c:v>45909</c:v>
                </c:pt>
                <c:pt idx="133">
                  <c:v>45909</c:v>
                </c:pt>
                <c:pt idx="134">
                  <c:v>45910</c:v>
                </c:pt>
                <c:pt idx="135">
                  <c:v>45911</c:v>
                </c:pt>
                <c:pt idx="136">
                  <c:v>45912</c:v>
                </c:pt>
                <c:pt idx="137">
                  <c:v>45915</c:v>
                </c:pt>
                <c:pt idx="138">
                  <c:v>45915</c:v>
                </c:pt>
                <c:pt idx="139">
                  <c:v>45916</c:v>
                </c:pt>
                <c:pt idx="140">
                  <c:v>45916</c:v>
                </c:pt>
                <c:pt idx="141">
                  <c:v>45917</c:v>
                </c:pt>
                <c:pt idx="142">
                  <c:v>45918</c:v>
                </c:pt>
                <c:pt idx="143">
                  <c:v>45919</c:v>
                </c:pt>
                <c:pt idx="144">
                  <c:v>45922</c:v>
                </c:pt>
                <c:pt idx="145">
                  <c:v>45923</c:v>
                </c:pt>
                <c:pt idx="146">
                  <c:v>45924</c:v>
                </c:pt>
                <c:pt idx="147">
                  <c:v>45925</c:v>
                </c:pt>
                <c:pt idx="148">
                  <c:v>45926</c:v>
                </c:pt>
                <c:pt idx="149">
                  <c:v>45929</c:v>
                </c:pt>
                <c:pt idx="150">
                  <c:v>45930</c:v>
                </c:pt>
                <c:pt idx="151">
                  <c:v>45931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45950</c:v>
                </c:pt>
                <c:pt idx="165">
                  <c:v>45951</c:v>
                </c:pt>
                <c:pt idx="166">
                  <c:v>45953</c:v>
                </c:pt>
                <c:pt idx="167">
                  <c:v>45953</c:v>
                </c:pt>
                <c:pt idx="168">
                  <c:v>45954</c:v>
                </c:pt>
                <c:pt idx="169">
                  <c:v>45957</c:v>
                </c:pt>
                <c:pt idx="170">
                  <c:v>45958</c:v>
                </c:pt>
                <c:pt idx="171">
                  <c:v>45959</c:v>
                </c:pt>
                <c:pt idx="172">
                  <c:v>45960</c:v>
                </c:pt>
                <c:pt idx="173">
                  <c:v>45961</c:v>
                </c:pt>
                <c:pt idx="174">
                  <c:v>45964</c:v>
                </c:pt>
                <c:pt idx="175">
                  <c:v>45965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45988</c:v>
                </c:pt>
                <c:pt idx="192">
                  <c:v>45989</c:v>
                </c:pt>
                <c:pt idx="193">
                  <c:v>45992</c:v>
                </c:pt>
                <c:pt idx="194">
                  <c:v>45993</c:v>
                </c:pt>
                <c:pt idx="195">
                  <c:v>45994</c:v>
                </c:pt>
                <c:pt idx="196">
                  <c:v>45995</c:v>
                </c:pt>
                <c:pt idx="197">
                  <c:v>45996</c:v>
                </c:pt>
                <c:pt idx="198">
                  <c:v>45999</c:v>
                </c:pt>
                <c:pt idx="199">
                  <c:v>46000</c:v>
                </c:pt>
                <c:pt idx="200">
                  <c:v>46001</c:v>
                </c:pt>
                <c:pt idx="201">
                  <c:v>46002</c:v>
                </c:pt>
                <c:pt idx="202">
                  <c:v>46003</c:v>
                </c:pt>
                <c:pt idx="203">
                  <c:v>46006</c:v>
                </c:pt>
                <c:pt idx="204">
                  <c:v>46007</c:v>
                </c:pt>
                <c:pt idx="205">
                  <c:v>46008</c:v>
                </c:pt>
                <c:pt idx="206">
                  <c:v>46009</c:v>
                </c:pt>
                <c:pt idx="207">
                  <c:v>46010</c:v>
                </c:pt>
                <c:pt idx="208">
                  <c:v>46013</c:v>
                </c:pt>
                <c:pt idx="209">
                  <c:v>46014</c:v>
                </c:pt>
                <c:pt idx="210">
                  <c:v>46015</c:v>
                </c:pt>
                <c:pt idx="211">
                  <c:v>46017</c:v>
                </c:pt>
                <c:pt idx="212">
                  <c:v>46020</c:v>
                </c:pt>
                <c:pt idx="213">
                  <c:v>46021</c:v>
                </c:pt>
                <c:pt idx="214">
                  <c:v>46022</c:v>
                </c:pt>
                <c:pt idx="215">
                  <c:v>46023</c:v>
                </c:pt>
                <c:pt idx="216">
                  <c:v>46024</c:v>
                </c:pt>
                <c:pt idx="217">
                  <c:v>46027</c:v>
                </c:pt>
                <c:pt idx="218">
                  <c:v>46028</c:v>
                </c:pt>
                <c:pt idx="219">
                  <c:v>46029</c:v>
                </c:pt>
                <c:pt idx="220">
                  <c:v>46030</c:v>
                </c:pt>
                <c:pt idx="221">
                  <c:v>46031</c:v>
                </c:pt>
                <c:pt idx="222">
                  <c:v>46034</c:v>
                </c:pt>
                <c:pt idx="223">
                  <c:v>46035</c:v>
                </c:pt>
                <c:pt idx="224">
                  <c:v>46036</c:v>
                </c:pt>
                <c:pt idx="225">
                  <c:v>46038</c:v>
                </c:pt>
                <c:pt idx="226">
                  <c:v>46041</c:v>
                </c:pt>
                <c:pt idx="227">
                  <c:v>46042</c:v>
                </c:pt>
                <c:pt idx="228">
                  <c:v>46043</c:v>
                </c:pt>
                <c:pt idx="229">
                  <c:v>46044</c:v>
                </c:pt>
                <c:pt idx="230">
                  <c:v>46045</c:v>
                </c:pt>
                <c:pt idx="231">
                  <c:v>46049</c:v>
                </c:pt>
                <c:pt idx="232">
                  <c:v>46050</c:v>
                </c:pt>
                <c:pt idx="233">
                  <c:v>46051</c:v>
                </c:pt>
                <c:pt idx="234">
                  <c:v>46052</c:v>
                </c:pt>
                <c:pt idx="235">
                  <c:v>46054</c:v>
                </c:pt>
                <c:pt idx="236">
                  <c:v>46055</c:v>
                </c:pt>
                <c:pt idx="237">
                  <c:v>46056</c:v>
                </c:pt>
                <c:pt idx="238">
                  <c:v>46057</c:v>
                </c:pt>
                <c:pt idx="239">
                  <c:v>46058</c:v>
                </c:pt>
                <c:pt idx="240">
                  <c:v>46059</c:v>
                </c:pt>
                <c:pt idx="241">
                  <c:v>46062</c:v>
                </c:pt>
                <c:pt idx="242">
                  <c:v>46063</c:v>
                </c:pt>
                <c:pt idx="243">
                  <c:v>46064</c:v>
                </c:pt>
                <c:pt idx="244">
                  <c:v>46065</c:v>
                </c:pt>
                <c:pt idx="245">
                  <c:v>46066</c:v>
                </c:pt>
                <c:pt idx="246">
                  <c:v>46069</c:v>
                </c:pt>
                <c:pt idx="247">
                  <c:v>46070</c:v>
                </c:pt>
                <c:pt idx="248">
                  <c:v>46071</c:v>
                </c:pt>
                <c:pt idx="249">
                  <c:v>46072</c:v>
                </c:pt>
                <c:pt idx="250">
                  <c:v>46073</c:v>
                </c:pt>
                <c:pt idx="251">
                  <c:v>46076</c:v>
                </c:pt>
                <c:pt idx="252">
                  <c:v>46077</c:v>
                </c:pt>
                <c:pt idx="253">
                  <c:v>46078</c:v>
                </c:pt>
              </c:numCache>
            </c:numRef>
          </c:cat>
          <c:val>
            <c:numRef>
              <c:f>'Brown Stocks'!$B$4:$B$257</c:f>
              <c:numCache>
                <c:formatCode>#,##0.00</c:formatCode>
                <c:ptCount val="254"/>
                <c:pt idx="0">
                  <c:v>1764.3</c:v>
                </c:pt>
                <c:pt idx="1">
                  <c:v>1687.7</c:v>
                </c:pt>
                <c:pt idx="2">
                  <c:v>1708.6</c:v>
                </c:pt>
                <c:pt idx="3">
                  <c:v>1688.3</c:v>
                </c:pt>
                <c:pt idx="4">
                  <c:v>1711.5</c:v>
                </c:pt>
                <c:pt idx="5">
                  <c:v>1715.85</c:v>
                </c:pt>
                <c:pt idx="6">
                  <c:v>1686</c:v>
                </c:pt>
                <c:pt idx="7">
                  <c:v>1701.45</c:v>
                </c:pt>
                <c:pt idx="8">
                  <c:v>1657</c:v>
                </c:pt>
                <c:pt idx="9">
                  <c:v>1661.6</c:v>
                </c:pt>
                <c:pt idx="10">
                  <c:v>1574</c:v>
                </c:pt>
                <c:pt idx="11">
                  <c:v>1590.85</c:v>
                </c:pt>
                <c:pt idx="12">
                  <c:v>1579.85</c:v>
                </c:pt>
                <c:pt idx="13">
                  <c:v>1590.05</c:v>
                </c:pt>
                <c:pt idx="14">
                  <c:v>1609.35</c:v>
                </c:pt>
                <c:pt idx="15">
                  <c:v>1586.55</c:v>
                </c:pt>
                <c:pt idx="16">
                  <c:v>1615.55</c:v>
                </c:pt>
                <c:pt idx="17">
                  <c:v>1592.55</c:v>
                </c:pt>
                <c:pt idx="18">
                  <c:v>1592.75</c:v>
                </c:pt>
                <c:pt idx="19">
                  <c:v>1628.45</c:v>
                </c:pt>
                <c:pt idx="20">
                  <c:v>1599.45</c:v>
                </c:pt>
                <c:pt idx="21">
                  <c:v>1603.55</c:v>
                </c:pt>
                <c:pt idx="22">
                  <c:v>1570.65</c:v>
                </c:pt>
                <c:pt idx="23">
                  <c:v>1526.5</c:v>
                </c:pt>
                <c:pt idx="24">
                  <c:v>1550.15</c:v>
                </c:pt>
                <c:pt idx="25">
                  <c:v>1496.5</c:v>
                </c:pt>
                <c:pt idx="26">
                  <c:v>1451.65</c:v>
                </c:pt>
                <c:pt idx="27">
                  <c:v>1396.75</c:v>
                </c:pt>
                <c:pt idx="28">
                  <c:v>1428.8</c:v>
                </c:pt>
                <c:pt idx="29">
                  <c:v>1403.7</c:v>
                </c:pt>
                <c:pt idx="30">
                  <c:v>1409.45</c:v>
                </c:pt>
                <c:pt idx="31">
                  <c:v>1426</c:v>
                </c:pt>
                <c:pt idx="32">
                  <c:v>1413.1</c:v>
                </c:pt>
                <c:pt idx="33">
                  <c:v>1419.5</c:v>
                </c:pt>
                <c:pt idx="34">
                  <c:v>1451</c:v>
                </c:pt>
                <c:pt idx="35">
                  <c:v>1422.8</c:v>
                </c:pt>
                <c:pt idx="36">
                  <c:v>1474.9</c:v>
                </c:pt>
                <c:pt idx="37">
                  <c:v>1471.4</c:v>
                </c:pt>
                <c:pt idx="38">
                  <c:v>1480.2</c:v>
                </c:pt>
                <c:pt idx="39">
                  <c:v>1482.1</c:v>
                </c:pt>
                <c:pt idx="40">
                  <c:v>1497.5</c:v>
                </c:pt>
                <c:pt idx="41">
                  <c:v>1500.1</c:v>
                </c:pt>
                <c:pt idx="42">
                  <c:v>1506.8</c:v>
                </c:pt>
                <c:pt idx="43">
                  <c:v>1508.6</c:v>
                </c:pt>
                <c:pt idx="44">
                  <c:v>1511.5</c:v>
                </c:pt>
                <c:pt idx="45">
                  <c:v>1508.3</c:v>
                </c:pt>
                <c:pt idx="46">
                  <c:v>1511.4</c:v>
                </c:pt>
                <c:pt idx="47">
                  <c:v>1507.6</c:v>
                </c:pt>
                <c:pt idx="48">
                  <c:v>1626.9</c:v>
                </c:pt>
                <c:pt idx="49">
                  <c:v>1568.6</c:v>
                </c:pt>
                <c:pt idx="50">
                  <c:v>1592.4</c:v>
                </c:pt>
                <c:pt idx="51">
                  <c:v>1613</c:v>
                </c:pt>
                <c:pt idx="52">
                  <c:v>1589.9</c:v>
                </c:pt>
                <c:pt idx="53">
                  <c:v>1559.8</c:v>
                </c:pt>
                <c:pt idx="54">
                  <c:v>1560.6</c:v>
                </c:pt>
                <c:pt idx="55">
                  <c:v>1568.5</c:v>
                </c:pt>
                <c:pt idx="56">
                  <c:v>1547.5</c:v>
                </c:pt>
                <c:pt idx="57">
                  <c:v>1564.8</c:v>
                </c:pt>
                <c:pt idx="58">
                  <c:v>1580.5</c:v>
                </c:pt>
                <c:pt idx="59">
                  <c:v>1570.1</c:v>
                </c:pt>
                <c:pt idx="60">
                  <c:v>1571.8</c:v>
                </c:pt>
                <c:pt idx="61">
                  <c:v>1585.6</c:v>
                </c:pt>
                <c:pt idx="62">
                  <c:v>1562.7</c:v>
                </c:pt>
                <c:pt idx="63">
                  <c:v>1553.8</c:v>
                </c:pt>
                <c:pt idx="64">
                  <c:v>1543</c:v>
                </c:pt>
                <c:pt idx="65">
                  <c:v>1551.2</c:v>
                </c:pt>
                <c:pt idx="66">
                  <c:v>1554.3</c:v>
                </c:pt>
                <c:pt idx="67">
                  <c:v>1563.8</c:v>
                </c:pt>
                <c:pt idx="68">
                  <c:v>1572.9</c:v>
                </c:pt>
                <c:pt idx="69">
                  <c:v>1596</c:v>
                </c:pt>
                <c:pt idx="70">
                  <c:v>1631.1</c:v>
                </c:pt>
                <c:pt idx="71">
                  <c:v>1608.6</c:v>
                </c:pt>
                <c:pt idx="72">
                  <c:v>1602</c:v>
                </c:pt>
                <c:pt idx="73">
                  <c:v>1623.8</c:v>
                </c:pt>
                <c:pt idx="74">
                  <c:v>1639.9</c:v>
                </c:pt>
                <c:pt idx="75">
                  <c:v>1632.9</c:v>
                </c:pt>
                <c:pt idx="76">
                  <c:v>1618.4</c:v>
                </c:pt>
                <c:pt idx="77">
                  <c:v>1622.9</c:v>
                </c:pt>
                <c:pt idx="78">
                  <c:v>1584</c:v>
                </c:pt>
                <c:pt idx="79">
                  <c:v>1581.6</c:v>
                </c:pt>
                <c:pt idx="80">
                  <c:v>1614.9</c:v>
                </c:pt>
                <c:pt idx="81">
                  <c:v>1616</c:v>
                </c:pt>
                <c:pt idx="82">
                  <c:v>1608</c:v>
                </c:pt>
                <c:pt idx="83">
                  <c:v>1601.8</c:v>
                </c:pt>
                <c:pt idx="84">
                  <c:v>1606.8</c:v>
                </c:pt>
                <c:pt idx="85">
                  <c:v>1610.5</c:v>
                </c:pt>
                <c:pt idx="86">
                  <c:v>1618.7</c:v>
                </c:pt>
                <c:pt idx="87">
                  <c:v>1640.7</c:v>
                </c:pt>
                <c:pt idx="88">
                  <c:v>1627</c:v>
                </c:pt>
                <c:pt idx="89">
                  <c:v>1638.7</c:v>
                </c:pt>
                <c:pt idx="90">
                  <c:v>1633.7</c:v>
                </c:pt>
                <c:pt idx="91">
                  <c:v>1615.8</c:v>
                </c:pt>
                <c:pt idx="92">
                  <c:v>1594.9</c:v>
                </c:pt>
                <c:pt idx="93">
                  <c:v>1570.3</c:v>
                </c:pt>
                <c:pt idx="94">
                  <c:v>1585.6</c:v>
                </c:pt>
                <c:pt idx="95">
                  <c:v>1607.9</c:v>
                </c:pt>
                <c:pt idx="96">
                  <c:v>1583.5</c:v>
                </c:pt>
                <c:pt idx="97">
                  <c:v>1586.1</c:v>
                </c:pt>
                <c:pt idx="98">
                  <c:v>1584.3</c:v>
                </c:pt>
                <c:pt idx="99">
                  <c:v>1570.9</c:v>
                </c:pt>
                <c:pt idx="100">
                  <c:v>1574.5</c:v>
                </c:pt>
                <c:pt idx="101">
                  <c:v>1552.5</c:v>
                </c:pt>
                <c:pt idx="102">
                  <c:v>1515.7</c:v>
                </c:pt>
                <c:pt idx="103">
                  <c:v>1516</c:v>
                </c:pt>
                <c:pt idx="104">
                  <c:v>1513.7</c:v>
                </c:pt>
                <c:pt idx="105">
                  <c:v>1519</c:v>
                </c:pt>
                <c:pt idx="106">
                  <c:v>1509</c:v>
                </c:pt>
                <c:pt idx="107">
                  <c:v>1469.6</c:v>
                </c:pt>
                <c:pt idx="108">
                  <c:v>1480.5</c:v>
                </c:pt>
                <c:pt idx="109">
                  <c:v>1460.3</c:v>
                </c:pt>
                <c:pt idx="110">
                  <c:v>1436.7</c:v>
                </c:pt>
                <c:pt idx="111">
                  <c:v>1436.9</c:v>
                </c:pt>
                <c:pt idx="112">
                  <c:v>1423.1</c:v>
                </c:pt>
                <c:pt idx="113">
                  <c:v>1428.2</c:v>
                </c:pt>
                <c:pt idx="114">
                  <c:v>1424.1</c:v>
                </c:pt>
                <c:pt idx="115">
                  <c:v>1426.6</c:v>
                </c:pt>
                <c:pt idx="116">
                  <c:v>1447.7</c:v>
                </c:pt>
                <c:pt idx="117">
                  <c:v>1435.8</c:v>
                </c:pt>
                <c:pt idx="118">
                  <c:v>1440</c:v>
                </c:pt>
                <c:pt idx="119">
                  <c:v>1496.2</c:v>
                </c:pt>
                <c:pt idx="120">
                  <c:v>1496.4</c:v>
                </c:pt>
                <c:pt idx="121">
                  <c:v>1487.5</c:v>
                </c:pt>
                <c:pt idx="122">
                  <c:v>1532.1</c:v>
                </c:pt>
                <c:pt idx="123">
                  <c:v>1529.6</c:v>
                </c:pt>
                <c:pt idx="124">
                  <c:v>1500.1</c:v>
                </c:pt>
                <c:pt idx="125">
                  <c:v>1469.6</c:v>
                </c:pt>
                <c:pt idx="126">
                  <c:v>1499.4</c:v>
                </c:pt>
                <c:pt idx="127">
                  <c:v>1498.7</c:v>
                </c:pt>
                <c:pt idx="128">
                  <c:v>1479.1</c:v>
                </c:pt>
                <c:pt idx="129">
                  <c:v>1463</c:v>
                </c:pt>
                <c:pt idx="130">
                  <c:v>1444.6</c:v>
                </c:pt>
                <c:pt idx="131">
                  <c:v>1432.9</c:v>
                </c:pt>
                <c:pt idx="132">
                  <c:v>1504.3</c:v>
                </c:pt>
                <c:pt idx="133">
                  <c:v>1432.9</c:v>
                </c:pt>
                <c:pt idx="134">
                  <c:v>1532.6</c:v>
                </c:pt>
                <c:pt idx="135">
                  <c:v>1509.7</c:v>
                </c:pt>
                <c:pt idx="136">
                  <c:v>1525.6</c:v>
                </c:pt>
                <c:pt idx="137">
                  <c:v>1525.6</c:v>
                </c:pt>
                <c:pt idx="138">
                  <c:v>1508.4</c:v>
                </c:pt>
                <c:pt idx="139">
                  <c:v>1505</c:v>
                </c:pt>
                <c:pt idx="140">
                  <c:v>1511.3</c:v>
                </c:pt>
                <c:pt idx="141">
                  <c:v>1522.4</c:v>
                </c:pt>
                <c:pt idx="142">
                  <c:v>1540.6</c:v>
                </c:pt>
                <c:pt idx="143">
                  <c:v>1540.2</c:v>
                </c:pt>
                <c:pt idx="144">
                  <c:v>1499.5</c:v>
                </c:pt>
                <c:pt idx="145">
                  <c:v>1497.5</c:v>
                </c:pt>
                <c:pt idx="146">
                  <c:v>1494.6</c:v>
                </c:pt>
                <c:pt idx="147">
                  <c:v>1484.8</c:v>
                </c:pt>
                <c:pt idx="148">
                  <c:v>1448.9</c:v>
                </c:pt>
                <c:pt idx="149">
                  <c:v>1441.8</c:v>
                </c:pt>
                <c:pt idx="150">
                  <c:v>1441.8</c:v>
                </c:pt>
                <c:pt idx="151">
                  <c:v>1445.8</c:v>
                </c:pt>
                <c:pt idx="152">
                  <c:v>1446.6</c:v>
                </c:pt>
                <c:pt idx="153">
                  <c:v>1476</c:v>
                </c:pt>
                <c:pt idx="154">
                  <c:v>1458.5</c:v>
                </c:pt>
                <c:pt idx="155">
                  <c:v>1495</c:v>
                </c:pt>
                <c:pt idx="156">
                  <c:v>1509.3</c:v>
                </c:pt>
                <c:pt idx="157">
                  <c:v>1514.9</c:v>
                </c:pt>
                <c:pt idx="158">
                  <c:v>1493.2</c:v>
                </c:pt>
                <c:pt idx="159">
                  <c:v>1489.9</c:v>
                </c:pt>
                <c:pt idx="160">
                  <c:v>1474.4</c:v>
                </c:pt>
                <c:pt idx="161">
                  <c:v>1471.5</c:v>
                </c:pt>
                <c:pt idx="162">
                  <c:v>1441.1</c:v>
                </c:pt>
                <c:pt idx="163">
                  <c:v>1460.9</c:v>
                </c:pt>
                <c:pt idx="164">
                  <c:v>1460.9</c:v>
                </c:pt>
                <c:pt idx="165">
                  <c:v>1472.4</c:v>
                </c:pt>
                <c:pt idx="166">
                  <c:v>1528.5</c:v>
                </c:pt>
                <c:pt idx="167">
                  <c:v>1528.5</c:v>
                </c:pt>
                <c:pt idx="168">
                  <c:v>1525.4</c:v>
                </c:pt>
                <c:pt idx="169">
                  <c:v>1504.5</c:v>
                </c:pt>
                <c:pt idx="170">
                  <c:v>1500.2</c:v>
                </c:pt>
                <c:pt idx="171">
                  <c:v>1510.4</c:v>
                </c:pt>
                <c:pt idx="172">
                  <c:v>1493.8</c:v>
                </c:pt>
                <c:pt idx="173">
                  <c:v>1482.3</c:v>
                </c:pt>
                <c:pt idx="174">
                  <c:v>1485.5</c:v>
                </c:pt>
                <c:pt idx="175">
                  <c:v>1467.9</c:v>
                </c:pt>
                <c:pt idx="176">
                  <c:v>1466.7</c:v>
                </c:pt>
                <c:pt idx="177">
                  <c:v>1476.8</c:v>
                </c:pt>
                <c:pt idx="178">
                  <c:v>1513.5</c:v>
                </c:pt>
                <c:pt idx="179">
                  <c:v>1530.3</c:v>
                </c:pt>
                <c:pt idx="180">
                  <c:v>1551.7</c:v>
                </c:pt>
                <c:pt idx="181">
                  <c:v>1541.8</c:v>
                </c:pt>
                <c:pt idx="182">
                  <c:v>1502.8</c:v>
                </c:pt>
                <c:pt idx="183">
                  <c:v>1507.6</c:v>
                </c:pt>
                <c:pt idx="184">
                  <c:v>1486.4</c:v>
                </c:pt>
                <c:pt idx="185">
                  <c:v>1541.1</c:v>
                </c:pt>
                <c:pt idx="186">
                  <c:v>1536.5</c:v>
                </c:pt>
                <c:pt idx="187">
                  <c:v>1545</c:v>
                </c:pt>
                <c:pt idx="188">
                  <c:v>1548</c:v>
                </c:pt>
                <c:pt idx="189">
                  <c:v>1530.6</c:v>
                </c:pt>
                <c:pt idx="190">
                  <c:v>1557.9</c:v>
                </c:pt>
                <c:pt idx="191">
                  <c:v>1566.4</c:v>
                </c:pt>
                <c:pt idx="192">
                  <c:v>1560.1</c:v>
                </c:pt>
                <c:pt idx="193">
                  <c:v>1564</c:v>
                </c:pt>
                <c:pt idx="194">
                  <c:v>1561</c:v>
                </c:pt>
                <c:pt idx="195">
                  <c:v>1578.7</c:v>
                </c:pt>
                <c:pt idx="196">
                  <c:v>1597.6</c:v>
                </c:pt>
                <c:pt idx="197">
                  <c:v>1616.2</c:v>
                </c:pt>
                <c:pt idx="198">
                  <c:v>1610.8</c:v>
                </c:pt>
                <c:pt idx="199">
                  <c:v>1599</c:v>
                </c:pt>
                <c:pt idx="200">
                  <c:v>1584.8</c:v>
                </c:pt>
                <c:pt idx="201">
                  <c:v>1598</c:v>
                </c:pt>
                <c:pt idx="202">
                  <c:v>1598.2</c:v>
                </c:pt>
                <c:pt idx="203">
                  <c:v>1606.8</c:v>
                </c:pt>
                <c:pt idx="204">
                  <c:v>1592.9</c:v>
                </c:pt>
                <c:pt idx="205">
                  <c:v>1602</c:v>
                </c:pt>
                <c:pt idx="206">
                  <c:v>1626.8</c:v>
                </c:pt>
                <c:pt idx="207">
                  <c:v>1638.7</c:v>
                </c:pt>
                <c:pt idx="208">
                  <c:v>1689.6</c:v>
                </c:pt>
                <c:pt idx="209">
                  <c:v>1668.3</c:v>
                </c:pt>
                <c:pt idx="210">
                  <c:v>1663.4</c:v>
                </c:pt>
                <c:pt idx="211">
                  <c:v>1656.1</c:v>
                </c:pt>
                <c:pt idx="212">
                  <c:v>1644.7</c:v>
                </c:pt>
                <c:pt idx="213">
                  <c:v>1621.6</c:v>
                </c:pt>
                <c:pt idx="214">
                  <c:v>1615.4</c:v>
                </c:pt>
                <c:pt idx="215">
                  <c:v>1629.8</c:v>
                </c:pt>
                <c:pt idx="216">
                  <c:v>1640.4</c:v>
                </c:pt>
                <c:pt idx="217">
                  <c:v>1606.4</c:v>
                </c:pt>
                <c:pt idx="218">
                  <c:v>1612.2</c:v>
                </c:pt>
                <c:pt idx="219">
                  <c:v>1639</c:v>
                </c:pt>
                <c:pt idx="220">
                  <c:v>1613.3</c:v>
                </c:pt>
                <c:pt idx="221">
                  <c:v>1614.1</c:v>
                </c:pt>
                <c:pt idx="222">
                  <c:v>1595.9</c:v>
                </c:pt>
                <c:pt idx="223">
                  <c:v>1599</c:v>
                </c:pt>
                <c:pt idx="224">
                  <c:v>1599.8</c:v>
                </c:pt>
                <c:pt idx="225">
                  <c:v>1689.8</c:v>
                </c:pt>
                <c:pt idx="226">
                  <c:v>1681.2</c:v>
                </c:pt>
                <c:pt idx="227">
                  <c:v>1658.9</c:v>
                </c:pt>
                <c:pt idx="228">
                  <c:v>1654.4</c:v>
                </c:pt>
                <c:pt idx="229">
                  <c:v>1663.5</c:v>
                </c:pt>
                <c:pt idx="230">
                  <c:v>1670.8</c:v>
                </c:pt>
                <c:pt idx="231">
                  <c:v>1682.7</c:v>
                </c:pt>
                <c:pt idx="232">
                  <c:v>1666.5</c:v>
                </c:pt>
                <c:pt idx="233">
                  <c:v>1659.5</c:v>
                </c:pt>
                <c:pt idx="234">
                  <c:v>1641</c:v>
                </c:pt>
                <c:pt idx="235">
                  <c:v>1654.5</c:v>
                </c:pt>
                <c:pt idx="236">
                  <c:v>1629.4</c:v>
                </c:pt>
                <c:pt idx="237">
                  <c:v>1656</c:v>
                </c:pt>
                <c:pt idx="238">
                  <c:v>1535.8</c:v>
                </c:pt>
                <c:pt idx="239">
                  <c:v>1520.2</c:v>
                </c:pt>
                <c:pt idx="240">
                  <c:v>1507.1</c:v>
                </c:pt>
                <c:pt idx="241">
                  <c:v>1497.2</c:v>
                </c:pt>
                <c:pt idx="242">
                  <c:v>1497.8</c:v>
                </c:pt>
                <c:pt idx="243">
                  <c:v>1471.9</c:v>
                </c:pt>
                <c:pt idx="244">
                  <c:v>1386</c:v>
                </c:pt>
                <c:pt idx="245">
                  <c:v>1369.1</c:v>
                </c:pt>
                <c:pt idx="246">
                  <c:v>1365.6</c:v>
                </c:pt>
                <c:pt idx="247">
                  <c:v>1391.2</c:v>
                </c:pt>
                <c:pt idx="248">
                  <c:v>1373.7</c:v>
                </c:pt>
                <c:pt idx="249">
                  <c:v>1370.5</c:v>
                </c:pt>
                <c:pt idx="250">
                  <c:v>1353.2</c:v>
                </c:pt>
                <c:pt idx="251">
                  <c:v>1327.5</c:v>
                </c:pt>
                <c:pt idx="252">
                  <c:v>1275.5</c:v>
                </c:pt>
                <c:pt idx="253">
                  <c:v>1290.0999999999999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7-4150-90F7-988910FD1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589264"/>
        <c:axId val="675584464"/>
      </c:lineChart>
      <c:dateAx>
        <c:axId val="67558926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584464"/>
        <c:crosses val="autoZero"/>
        <c:auto val="1"/>
        <c:lblOffset val="100"/>
        <c:baseTimeUnit val="days"/>
      </c:dateAx>
      <c:valAx>
        <c:axId val="6755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58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Infy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'Brown Stocks'!$A$5:$A$257</c:f>
              <c:numCache>
                <c:formatCode>d\-mmm\-yy</c:formatCode>
                <c:ptCount val="253"/>
                <c:pt idx="0">
                  <c:v>45716</c:v>
                </c:pt>
                <c:pt idx="1">
                  <c:v>45719</c:v>
                </c:pt>
                <c:pt idx="2">
                  <c:v>45720</c:v>
                </c:pt>
                <c:pt idx="3">
                  <c:v>45721</c:v>
                </c:pt>
                <c:pt idx="4">
                  <c:v>45722</c:v>
                </c:pt>
                <c:pt idx="5">
                  <c:v>45723</c:v>
                </c:pt>
                <c:pt idx="6">
                  <c:v>45726</c:v>
                </c:pt>
                <c:pt idx="7">
                  <c:v>45727</c:v>
                </c:pt>
                <c:pt idx="8">
                  <c:v>45727</c:v>
                </c:pt>
                <c:pt idx="9">
                  <c:v>45728</c:v>
                </c:pt>
                <c:pt idx="10">
                  <c:v>45728</c:v>
                </c:pt>
                <c:pt idx="11">
                  <c:v>45729</c:v>
                </c:pt>
                <c:pt idx="12">
                  <c:v>45733</c:v>
                </c:pt>
                <c:pt idx="13">
                  <c:v>45734</c:v>
                </c:pt>
                <c:pt idx="14">
                  <c:v>45735</c:v>
                </c:pt>
                <c:pt idx="15">
                  <c:v>45736</c:v>
                </c:pt>
                <c:pt idx="16">
                  <c:v>45737</c:v>
                </c:pt>
                <c:pt idx="17">
                  <c:v>45740</c:v>
                </c:pt>
                <c:pt idx="18">
                  <c:v>45741</c:v>
                </c:pt>
                <c:pt idx="19">
                  <c:v>45742</c:v>
                </c:pt>
                <c:pt idx="20">
                  <c:v>45743</c:v>
                </c:pt>
                <c:pt idx="21">
                  <c:v>45744</c:v>
                </c:pt>
                <c:pt idx="22">
                  <c:v>45748</c:v>
                </c:pt>
                <c:pt idx="23">
                  <c:v>45749</c:v>
                </c:pt>
                <c:pt idx="24">
                  <c:v>45750</c:v>
                </c:pt>
                <c:pt idx="25">
                  <c:v>45751</c:v>
                </c:pt>
                <c:pt idx="26">
                  <c:v>45754</c:v>
                </c:pt>
                <c:pt idx="27">
                  <c:v>45755</c:v>
                </c:pt>
                <c:pt idx="28">
                  <c:v>45756</c:v>
                </c:pt>
                <c:pt idx="29">
                  <c:v>45758</c:v>
                </c:pt>
                <c:pt idx="30">
                  <c:v>45762</c:v>
                </c:pt>
                <c:pt idx="31">
                  <c:v>45763</c:v>
                </c:pt>
                <c:pt idx="32">
                  <c:v>45764</c:v>
                </c:pt>
                <c:pt idx="33">
                  <c:v>45768</c:v>
                </c:pt>
                <c:pt idx="34">
                  <c:v>45769</c:v>
                </c:pt>
                <c:pt idx="35">
                  <c:v>45770</c:v>
                </c:pt>
                <c:pt idx="36">
                  <c:v>45771</c:v>
                </c:pt>
                <c:pt idx="37">
                  <c:v>45772</c:v>
                </c:pt>
                <c:pt idx="38">
                  <c:v>45775</c:v>
                </c:pt>
                <c:pt idx="39">
                  <c:v>45776</c:v>
                </c:pt>
                <c:pt idx="40">
                  <c:v>45777</c:v>
                </c:pt>
                <c:pt idx="41">
                  <c:v>45779</c:v>
                </c:pt>
                <c:pt idx="42">
                  <c:v>45782</c:v>
                </c:pt>
                <c:pt idx="43">
                  <c:v>45783</c:v>
                </c:pt>
                <c:pt idx="44">
                  <c:v>45784</c:v>
                </c:pt>
                <c:pt idx="45">
                  <c:v>45785</c:v>
                </c:pt>
                <c:pt idx="46">
                  <c:v>45786</c:v>
                </c:pt>
                <c:pt idx="47">
                  <c:v>45789</c:v>
                </c:pt>
                <c:pt idx="48">
                  <c:v>45790</c:v>
                </c:pt>
                <c:pt idx="49">
                  <c:v>45791</c:v>
                </c:pt>
                <c:pt idx="50">
                  <c:v>45792</c:v>
                </c:pt>
                <c:pt idx="51">
                  <c:v>45793</c:v>
                </c:pt>
                <c:pt idx="52">
                  <c:v>45796</c:v>
                </c:pt>
                <c:pt idx="53">
                  <c:v>45797</c:v>
                </c:pt>
                <c:pt idx="54">
                  <c:v>45798</c:v>
                </c:pt>
                <c:pt idx="55">
                  <c:v>45799</c:v>
                </c:pt>
                <c:pt idx="56">
                  <c:v>45800</c:v>
                </c:pt>
                <c:pt idx="57">
                  <c:v>45803</c:v>
                </c:pt>
                <c:pt idx="58">
                  <c:v>45804</c:v>
                </c:pt>
                <c:pt idx="59">
                  <c:v>45805</c:v>
                </c:pt>
                <c:pt idx="60">
                  <c:v>45806</c:v>
                </c:pt>
                <c:pt idx="61">
                  <c:v>45807</c:v>
                </c:pt>
                <c:pt idx="62">
                  <c:v>45810</c:v>
                </c:pt>
                <c:pt idx="63">
                  <c:v>45811</c:v>
                </c:pt>
                <c:pt idx="64">
                  <c:v>45812</c:v>
                </c:pt>
                <c:pt idx="65">
                  <c:v>45813</c:v>
                </c:pt>
                <c:pt idx="66">
                  <c:v>45814</c:v>
                </c:pt>
                <c:pt idx="67">
                  <c:v>45817</c:v>
                </c:pt>
                <c:pt idx="68">
                  <c:v>45818</c:v>
                </c:pt>
                <c:pt idx="69">
                  <c:v>45819</c:v>
                </c:pt>
                <c:pt idx="70">
                  <c:v>45820</c:v>
                </c:pt>
                <c:pt idx="71">
                  <c:v>45821</c:v>
                </c:pt>
                <c:pt idx="72">
                  <c:v>45824</c:v>
                </c:pt>
                <c:pt idx="73">
                  <c:v>45825</c:v>
                </c:pt>
                <c:pt idx="74">
                  <c:v>45826</c:v>
                </c:pt>
                <c:pt idx="75">
                  <c:v>45827</c:v>
                </c:pt>
                <c:pt idx="76">
                  <c:v>45828</c:v>
                </c:pt>
                <c:pt idx="77">
                  <c:v>45831</c:v>
                </c:pt>
                <c:pt idx="78">
                  <c:v>45832</c:v>
                </c:pt>
                <c:pt idx="79">
                  <c:v>45833</c:v>
                </c:pt>
                <c:pt idx="80">
                  <c:v>45834</c:v>
                </c:pt>
                <c:pt idx="81">
                  <c:v>45835</c:v>
                </c:pt>
                <c:pt idx="82">
                  <c:v>45838</c:v>
                </c:pt>
                <c:pt idx="83">
                  <c:v>45839</c:v>
                </c:pt>
                <c:pt idx="84">
                  <c:v>45840</c:v>
                </c:pt>
                <c:pt idx="85">
                  <c:v>45841</c:v>
                </c:pt>
                <c:pt idx="86">
                  <c:v>45842</c:v>
                </c:pt>
                <c:pt idx="87">
                  <c:v>45845</c:v>
                </c:pt>
                <c:pt idx="88">
                  <c:v>45846</c:v>
                </c:pt>
                <c:pt idx="89">
                  <c:v>45847</c:v>
                </c:pt>
                <c:pt idx="90">
                  <c:v>45848</c:v>
                </c:pt>
                <c:pt idx="91">
                  <c:v>45849</c:v>
                </c:pt>
                <c:pt idx="92">
                  <c:v>45852</c:v>
                </c:pt>
                <c:pt idx="93">
                  <c:v>45853</c:v>
                </c:pt>
                <c:pt idx="94">
                  <c:v>45854</c:v>
                </c:pt>
                <c:pt idx="95">
                  <c:v>45855</c:v>
                </c:pt>
                <c:pt idx="96">
                  <c:v>45856</c:v>
                </c:pt>
                <c:pt idx="97">
                  <c:v>45859</c:v>
                </c:pt>
                <c:pt idx="98">
                  <c:v>45860</c:v>
                </c:pt>
                <c:pt idx="99">
                  <c:v>45861</c:v>
                </c:pt>
                <c:pt idx="100">
                  <c:v>45862</c:v>
                </c:pt>
                <c:pt idx="101">
                  <c:v>45863</c:v>
                </c:pt>
                <c:pt idx="102">
                  <c:v>45866</c:v>
                </c:pt>
                <c:pt idx="103">
                  <c:v>45867</c:v>
                </c:pt>
                <c:pt idx="104">
                  <c:v>45868</c:v>
                </c:pt>
                <c:pt idx="105">
                  <c:v>45869</c:v>
                </c:pt>
                <c:pt idx="106">
                  <c:v>45870</c:v>
                </c:pt>
                <c:pt idx="107">
                  <c:v>45873</c:v>
                </c:pt>
                <c:pt idx="108">
                  <c:v>45874</c:v>
                </c:pt>
                <c:pt idx="109">
                  <c:v>45875</c:v>
                </c:pt>
                <c:pt idx="110">
                  <c:v>45876</c:v>
                </c:pt>
                <c:pt idx="111">
                  <c:v>45877</c:v>
                </c:pt>
                <c:pt idx="112">
                  <c:v>45880</c:v>
                </c:pt>
                <c:pt idx="113">
                  <c:v>45881</c:v>
                </c:pt>
                <c:pt idx="114">
                  <c:v>45882</c:v>
                </c:pt>
                <c:pt idx="115">
                  <c:v>45883</c:v>
                </c:pt>
                <c:pt idx="116">
                  <c:v>45887</c:v>
                </c:pt>
                <c:pt idx="117">
                  <c:v>45888</c:v>
                </c:pt>
                <c:pt idx="118">
                  <c:v>45889</c:v>
                </c:pt>
                <c:pt idx="119">
                  <c:v>45890</c:v>
                </c:pt>
                <c:pt idx="120">
                  <c:v>45891</c:v>
                </c:pt>
                <c:pt idx="121">
                  <c:v>45894</c:v>
                </c:pt>
                <c:pt idx="122">
                  <c:v>45895</c:v>
                </c:pt>
                <c:pt idx="123">
                  <c:v>45897</c:v>
                </c:pt>
                <c:pt idx="124">
                  <c:v>45898</c:v>
                </c:pt>
                <c:pt idx="125">
                  <c:v>45901</c:v>
                </c:pt>
                <c:pt idx="126">
                  <c:v>45902</c:v>
                </c:pt>
                <c:pt idx="127">
                  <c:v>45903</c:v>
                </c:pt>
                <c:pt idx="128">
                  <c:v>45904</c:v>
                </c:pt>
                <c:pt idx="129">
                  <c:v>45905</c:v>
                </c:pt>
                <c:pt idx="130">
                  <c:v>45908</c:v>
                </c:pt>
                <c:pt idx="131">
                  <c:v>45909</c:v>
                </c:pt>
                <c:pt idx="132">
                  <c:v>45909</c:v>
                </c:pt>
                <c:pt idx="133">
                  <c:v>45910</c:v>
                </c:pt>
                <c:pt idx="134">
                  <c:v>45911</c:v>
                </c:pt>
                <c:pt idx="135">
                  <c:v>45912</c:v>
                </c:pt>
                <c:pt idx="136">
                  <c:v>45915</c:v>
                </c:pt>
                <c:pt idx="137">
                  <c:v>45915</c:v>
                </c:pt>
                <c:pt idx="138">
                  <c:v>45916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45933</c:v>
                </c:pt>
                <c:pt idx="152">
                  <c:v>45936</c:v>
                </c:pt>
                <c:pt idx="153">
                  <c:v>45937</c:v>
                </c:pt>
                <c:pt idx="154">
                  <c:v>45938</c:v>
                </c:pt>
                <c:pt idx="155">
                  <c:v>45939</c:v>
                </c:pt>
                <c:pt idx="156">
                  <c:v>45940</c:v>
                </c:pt>
                <c:pt idx="157">
                  <c:v>45943</c:v>
                </c:pt>
                <c:pt idx="158">
                  <c:v>45944</c:v>
                </c:pt>
                <c:pt idx="159">
                  <c:v>45945</c:v>
                </c:pt>
                <c:pt idx="160">
                  <c:v>45946</c:v>
                </c:pt>
                <c:pt idx="161">
                  <c:v>45947</c:v>
                </c:pt>
                <c:pt idx="162">
                  <c:v>45950</c:v>
                </c:pt>
                <c:pt idx="163">
                  <c:v>45950</c:v>
                </c:pt>
                <c:pt idx="164">
                  <c:v>45951</c:v>
                </c:pt>
                <c:pt idx="165">
                  <c:v>45953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45967</c:v>
                </c:pt>
                <c:pt idx="176">
                  <c:v>45968</c:v>
                </c:pt>
                <c:pt idx="177">
                  <c:v>45971</c:v>
                </c:pt>
                <c:pt idx="178">
                  <c:v>45972</c:v>
                </c:pt>
                <c:pt idx="179">
                  <c:v>45973</c:v>
                </c:pt>
                <c:pt idx="180">
                  <c:v>45974</c:v>
                </c:pt>
                <c:pt idx="181">
                  <c:v>45975</c:v>
                </c:pt>
                <c:pt idx="182">
                  <c:v>45978</c:v>
                </c:pt>
                <c:pt idx="183">
                  <c:v>45979</c:v>
                </c:pt>
                <c:pt idx="184">
                  <c:v>45980</c:v>
                </c:pt>
                <c:pt idx="185">
                  <c:v>45981</c:v>
                </c:pt>
                <c:pt idx="186">
                  <c:v>45982</c:v>
                </c:pt>
                <c:pt idx="187">
                  <c:v>45985</c:v>
                </c:pt>
                <c:pt idx="188">
                  <c:v>45986</c:v>
                </c:pt>
                <c:pt idx="189">
                  <c:v>45987</c:v>
                </c:pt>
                <c:pt idx="190">
                  <c:v>45988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46023</c:v>
                </c:pt>
                <c:pt idx="215">
                  <c:v>46024</c:v>
                </c:pt>
                <c:pt idx="216">
                  <c:v>46027</c:v>
                </c:pt>
                <c:pt idx="217">
                  <c:v>46028</c:v>
                </c:pt>
                <c:pt idx="218">
                  <c:v>46029</c:v>
                </c:pt>
                <c:pt idx="219">
                  <c:v>46030</c:v>
                </c:pt>
                <c:pt idx="220">
                  <c:v>46031</c:v>
                </c:pt>
                <c:pt idx="221">
                  <c:v>46034</c:v>
                </c:pt>
                <c:pt idx="222">
                  <c:v>46035</c:v>
                </c:pt>
                <c:pt idx="223">
                  <c:v>46036</c:v>
                </c:pt>
                <c:pt idx="224">
                  <c:v>46038</c:v>
                </c:pt>
                <c:pt idx="225">
                  <c:v>46041</c:v>
                </c:pt>
                <c:pt idx="226">
                  <c:v>46042</c:v>
                </c:pt>
                <c:pt idx="227">
                  <c:v>46043</c:v>
                </c:pt>
                <c:pt idx="228">
                  <c:v>46044</c:v>
                </c:pt>
                <c:pt idx="229">
                  <c:v>46045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46054</c:v>
                </c:pt>
                <c:pt idx="235">
                  <c:v>46055</c:v>
                </c:pt>
                <c:pt idx="236">
                  <c:v>46056</c:v>
                </c:pt>
                <c:pt idx="237">
                  <c:v>46057</c:v>
                </c:pt>
                <c:pt idx="238">
                  <c:v>46058</c:v>
                </c:pt>
                <c:pt idx="239">
                  <c:v>46059</c:v>
                </c:pt>
                <c:pt idx="240">
                  <c:v>46062</c:v>
                </c:pt>
                <c:pt idx="241">
                  <c:v>46063</c:v>
                </c:pt>
                <c:pt idx="242">
                  <c:v>46064</c:v>
                </c:pt>
                <c:pt idx="243">
                  <c:v>46065</c:v>
                </c:pt>
                <c:pt idx="244">
                  <c:v>46066</c:v>
                </c:pt>
                <c:pt idx="245">
                  <c:v>46069</c:v>
                </c:pt>
                <c:pt idx="246">
                  <c:v>46070</c:v>
                </c:pt>
                <c:pt idx="247">
                  <c:v>46071</c:v>
                </c:pt>
                <c:pt idx="248">
                  <c:v>46072</c:v>
                </c:pt>
                <c:pt idx="249">
                  <c:v>46073</c:v>
                </c:pt>
                <c:pt idx="250">
                  <c:v>46076</c:v>
                </c:pt>
                <c:pt idx="251">
                  <c:v>46077</c:v>
                </c:pt>
                <c:pt idx="252">
                  <c:v>46078</c:v>
                </c:pt>
              </c:numCache>
            </c:numRef>
          </c:cat>
          <c:val>
            <c:numRef>
              <c:f>'Brown Stocks'!$C$5:$C$257</c:f>
              <c:numCache>
                <c:formatCode>General</c:formatCode>
                <c:ptCount val="253"/>
                <c:pt idx="0">
                  <c:v>-4.3416652496740864E-2</c:v>
                </c:pt>
                <c:pt idx="1">
                  <c:v>1.238371748533499E-2</c:v>
                </c:pt>
                <c:pt idx="2">
                  <c:v>-1.1881072222872501E-2</c:v>
                </c:pt>
                <c:pt idx="3">
                  <c:v>1.3741633595924922E-2</c:v>
                </c:pt>
                <c:pt idx="4">
                  <c:v>2.5416301489920592E-3</c:v>
                </c:pt>
                <c:pt idx="5">
                  <c:v>-1.7396625579158966E-2</c:v>
                </c:pt>
                <c:pt idx="6">
                  <c:v>9.1637010676156854E-3</c:v>
                </c:pt>
                <c:pt idx="7">
                  <c:v>-2.6124775926415732E-2</c:v>
                </c:pt>
                <c:pt idx="8">
                  <c:v>2.7761013880506389E-3</c:v>
                </c:pt>
                <c:pt idx="9">
                  <c:v>-5.2720269619643663E-2</c:v>
                </c:pt>
                <c:pt idx="10">
                  <c:v>1.0705209656924975E-2</c:v>
                </c:pt>
                <c:pt idx="11">
                  <c:v>-6.9145425401514913E-3</c:v>
                </c:pt>
                <c:pt idx="12">
                  <c:v>6.4563091432731246E-3</c:v>
                </c:pt>
                <c:pt idx="13">
                  <c:v>1.2137983082292981E-2</c:v>
                </c:pt>
                <c:pt idx="14">
                  <c:v>-1.4167210364432819E-2</c:v>
                </c:pt>
                <c:pt idx="15">
                  <c:v>1.8278654943115567E-2</c:v>
                </c:pt>
                <c:pt idx="16">
                  <c:v>-1.4236637677571107E-2</c:v>
                </c:pt>
                <c:pt idx="17">
                  <c:v>1.2558475401089163E-4</c:v>
                </c:pt>
                <c:pt idx="18">
                  <c:v>2.2414063726259644E-2</c:v>
                </c:pt>
                <c:pt idx="19">
                  <c:v>-1.780834535908379E-2</c:v>
                </c:pt>
                <c:pt idx="20">
                  <c:v>2.5633811622744751E-3</c:v>
                </c:pt>
                <c:pt idx="21">
                  <c:v>-2.05169779551619E-2</c:v>
                </c:pt>
                <c:pt idx="22">
                  <c:v>-2.8109381466271982E-2</c:v>
                </c:pt>
                <c:pt idx="23">
                  <c:v>1.5492957746478932E-2</c:v>
                </c:pt>
                <c:pt idx="24">
                  <c:v>-3.4609553914137399E-2</c:v>
                </c:pt>
                <c:pt idx="25">
                  <c:v>-2.9969929836284603E-2</c:v>
                </c:pt>
                <c:pt idx="26">
                  <c:v>-3.7819033513588049E-2</c:v>
                </c:pt>
                <c:pt idx="27">
                  <c:v>2.2946124932879869E-2</c:v>
                </c:pt>
                <c:pt idx="28">
                  <c:v>-1.7567189249719981E-2</c:v>
                </c:pt>
                <c:pt idx="29">
                  <c:v>4.0963168768255323E-3</c:v>
                </c:pt>
                <c:pt idx="30">
                  <c:v>1.1742168931143321E-2</c:v>
                </c:pt>
                <c:pt idx="31">
                  <c:v>-9.0462833099579885E-3</c:v>
                </c:pt>
                <c:pt idx="32">
                  <c:v>4.5290496072465441E-3</c:v>
                </c:pt>
                <c:pt idx="33">
                  <c:v>2.2190912293060937E-2</c:v>
                </c:pt>
                <c:pt idx="34">
                  <c:v>-1.9434872501722981E-2</c:v>
                </c:pt>
                <c:pt idx="35">
                  <c:v>3.6617936463311879E-2</c:v>
                </c:pt>
                <c:pt idx="36">
                  <c:v>-2.3730422401518746E-3</c:v>
                </c:pt>
                <c:pt idx="37">
                  <c:v>5.9806986543427714E-3</c:v>
                </c:pt>
                <c:pt idx="38">
                  <c:v>1.2836103229292416E-3</c:v>
                </c:pt>
                <c:pt idx="39">
                  <c:v>1.0390661898657373E-2</c:v>
                </c:pt>
                <c:pt idx="40">
                  <c:v>1.7362270450750645E-3</c:v>
                </c:pt>
                <c:pt idx="41">
                  <c:v>4.4663689087394483E-3</c:v>
                </c:pt>
                <c:pt idx="42">
                  <c:v>1.1945845500397894E-3</c:v>
                </c:pt>
                <c:pt idx="43">
                  <c:v>1.9223120774228364E-3</c:v>
                </c:pt>
                <c:pt idx="44">
                  <c:v>-2.1171022163414127E-3</c:v>
                </c:pt>
                <c:pt idx="45">
                  <c:v>2.0552940396473757E-3</c:v>
                </c:pt>
                <c:pt idx="46">
                  <c:v>-2.5142252216489224E-3</c:v>
                </c:pt>
                <c:pt idx="47">
                  <c:v>7.9132395860971205E-2</c:v>
                </c:pt>
                <c:pt idx="48">
                  <c:v>-3.583502366463838E-2</c:v>
                </c:pt>
                <c:pt idx="49">
                  <c:v>1.5172765523396777E-2</c:v>
                </c:pt>
                <c:pt idx="50">
                  <c:v>1.2936448128610844E-2</c:v>
                </c:pt>
                <c:pt idx="51">
                  <c:v>-1.432114073155605E-2</c:v>
                </c:pt>
                <c:pt idx="52">
                  <c:v>-1.8932008302409042E-2</c:v>
                </c:pt>
                <c:pt idx="53">
                  <c:v>5.1288626747015935E-4</c:v>
                </c:pt>
                <c:pt idx="54">
                  <c:v>5.0621555811867815E-3</c:v>
                </c:pt>
                <c:pt idx="55">
                  <c:v>-1.33885878227606E-2</c:v>
                </c:pt>
                <c:pt idx="56">
                  <c:v>1.1179321486268145E-2</c:v>
                </c:pt>
                <c:pt idx="57">
                  <c:v>1.003323108384461E-2</c:v>
                </c:pt>
                <c:pt idx="58">
                  <c:v>-6.5801961404619363E-3</c:v>
                </c:pt>
                <c:pt idx="59">
                  <c:v>1.0827335838481916E-3</c:v>
                </c:pt>
                <c:pt idx="60">
                  <c:v>8.7797429698434626E-3</c:v>
                </c:pt>
                <c:pt idx="61">
                  <c:v>-1.4442482341069542E-2</c:v>
                </c:pt>
                <c:pt idx="62">
                  <c:v>-5.6952710053113781E-3</c:v>
                </c:pt>
                <c:pt idx="63">
                  <c:v>-6.9507015059852972E-3</c:v>
                </c:pt>
                <c:pt idx="64">
                  <c:v>5.3143227478937433E-3</c:v>
                </c:pt>
                <c:pt idx="65">
                  <c:v>1.9984528107271204E-3</c:v>
                </c:pt>
                <c:pt idx="66">
                  <c:v>6.1120761757704435E-3</c:v>
                </c:pt>
                <c:pt idx="67">
                  <c:v>5.8191584601612334E-3</c:v>
                </c:pt>
                <c:pt idx="68">
                  <c:v>1.4686248331108086E-2</c:v>
                </c:pt>
                <c:pt idx="69">
                  <c:v>2.1992481203007463E-2</c:v>
                </c:pt>
                <c:pt idx="70">
                  <c:v>-1.3794371896266325E-2</c:v>
                </c:pt>
                <c:pt idx="71">
                  <c:v>-4.1029466616933413E-3</c:v>
                </c:pt>
                <c:pt idx="72">
                  <c:v>1.3607990012484366E-2</c:v>
                </c:pt>
                <c:pt idx="73">
                  <c:v>9.9150141643060338E-3</c:v>
                </c:pt>
                <c:pt idx="74">
                  <c:v>-4.2685529605463743E-3</c:v>
                </c:pt>
                <c:pt idx="75">
                  <c:v>-8.8799069140792445E-3</c:v>
                </c:pt>
                <c:pt idx="76">
                  <c:v>2.7805239742956004E-3</c:v>
                </c:pt>
                <c:pt idx="77">
                  <c:v>-2.3969437426828572E-2</c:v>
                </c:pt>
                <c:pt idx="78">
                  <c:v>-1.5151515151515726E-3</c:v>
                </c:pt>
                <c:pt idx="79">
                  <c:v>2.1054628224582816E-2</c:v>
                </c:pt>
                <c:pt idx="80">
                  <c:v>6.8115672797071586E-4</c:v>
                </c:pt>
                <c:pt idx="81">
                  <c:v>-4.9504950495049506E-3</c:v>
                </c:pt>
                <c:pt idx="82">
                  <c:v>-3.8557213930348541E-3</c:v>
                </c:pt>
                <c:pt idx="83">
                  <c:v>3.1214883256336623E-3</c:v>
                </c:pt>
                <c:pt idx="84">
                  <c:v>2.3027134677620397E-3</c:v>
                </c:pt>
                <c:pt idx="85">
                  <c:v>5.0915864638311362E-3</c:v>
                </c:pt>
                <c:pt idx="86">
                  <c:v>1.359115339469945E-2</c:v>
                </c:pt>
                <c:pt idx="87">
                  <c:v>-8.3500944718717888E-3</c:v>
                </c:pt>
                <c:pt idx="88">
                  <c:v>7.1911493546404706E-3</c:v>
                </c:pt>
                <c:pt idx="89">
                  <c:v>-3.0511991212546531E-3</c:v>
                </c:pt>
                <c:pt idx="90">
                  <c:v>-1.0956724000734584E-2</c:v>
                </c:pt>
                <c:pt idx="91">
                  <c:v>-1.2934769154598257E-2</c:v>
                </c:pt>
                <c:pt idx="92">
                  <c:v>-1.5424164524421679E-2</c:v>
                </c:pt>
                <c:pt idx="93">
                  <c:v>9.7433611411831839E-3</c:v>
                </c:pt>
                <c:pt idx="94">
                  <c:v>1.4064076690212023E-2</c:v>
                </c:pt>
                <c:pt idx="95">
                  <c:v>-1.5175073076683929E-2</c:v>
                </c:pt>
                <c:pt idx="96">
                  <c:v>1.6419324281653988E-3</c:v>
                </c:pt>
                <c:pt idx="97">
                  <c:v>-1.1348590883298371E-3</c:v>
                </c:pt>
                <c:pt idx="98">
                  <c:v>-8.4579940667801959E-3</c:v>
                </c:pt>
                <c:pt idx="99">
                  <c:v>2.2916799287032333E-3</c:v>
                </c:pt>
                <c:pt idx="100">
                  <c:v>-1.3972689742775483E-2</c:v>
                </c:pt>
                <c:pt idx="101">
                  <c:v>-2.3703703703703675E-2</c:v>
                </c:pt>
                <c:pt idx="102">
                  <c:v>1.9792834993729268E-4</c:v>
                </c:pt>
                <c:pt idx="103">
                  <c:v>-1.517150395778334E-3</c:v>
                </c:pt>
                <c:pt idx="104">
                  <c:v>3.5013542974168953E-3</c:v>
                </c:pt>
                <c:pt idx="105">
                  <c:v>-6.5832784726793945E-3</c:v>
                </c:pt>
                <c:pt idx="106">
                  <c:v>-2.6110006626905297E-2</c:v>
                </c:pt>
                <c:pt idx="107">
                  <c:v>7.4169842133914613E-3</c:v>
                </c:pt>
                <c:pt idx="108">
                  <c:v>-1.36440391759541E-2</c:v>
                </c:pt>
                <c:pt idx="109">
                  <c:v>-1.616106279531597E-2</c:v>
                </c:pt>
                <c:pt idx="110">
                  <c:v>1.3920790700914978E-4</c:v>
                </c:pt>
                <c:pt idx="111">
                  <c:v>-9.6040086296890394E-3</c:v>
                </c:pt>
                <c:pt idx="112">
                  <c:v>3.5837256693135667E-3</c:v>
                </c:pt>
                <c:pt idx="113">
                  <c:v>-2.8707463940625517E-3</c:v>
                </c:pt>
                <c:pt idx="114">
                  <c:v>1.755494698406011E-3</c:v>
                </c:pt>
                <c:pt idx="115">
                  <c:v>1.479041076685836E-2</c:v>
                </c:pt>
                <c:pt idx="116">
                  <c:v>-8.2199350694205225E-3</c:v>
                </c:pt>
                <c:pt idx="117">
                  <c:v>2.9251984956122339E-3</c:v>
                </c:pt>
                <c:pt idx="118">
                  <c:v>3.9027777777777807E-2</c:v>
                </c:pt>
                <c:pt idx="119">
                  <c:v>1.3367196898813358E-4</c:v>
                </c:pt>
                <c:pt idx="120">
                  <c:v>-5.9476075915531213E-3</c:v>
                </c:pt>
                <c:pt idx="121">
                  <c:v>2.9983193277310864E-2</c:v>
                </c:pt>
                <c:pt idx="122">
                  <c:v>-1.6317472749820508E-3</c:v>
                </c:pt>
                <c:pt idx="123">
                  <c:v>-1.9286087866108789E-2</c:v>
                </c:pt>
                <c:pt idx="124">
                  <c:v>-2.0331977868142125E-2</c:v>
                </c:pt>
                <c:pt idx="125">
                  <c:v>2.0277626565051839E-2</c:v>
                </c:pt>
                <c:pt idx="126">
                  <c:v>-4.6685340802990894E-4</c:v>
                </c:pt>
                <c:pt idx="127">
                  <c:v>-1.3078000934143014E-2</c:v>
                </c:pt>
                <c:pt idx="128">
                  <c:v>-1.0884997633696106E-2</c:v>
                </c:pt>
                <c:pt idx="129">
                  <c:v>-1.2576896787423165E-2</c:v>
                </c:pt>
                <c:pt idx="130">
                  <c:v>-8.0991277862382804E-3</c:v>
                </c:pt>
                <c:pt idx="131">
                  <c:v>4.9829018075231948E-2</c:v>
                </c:pt>
                <c:pt idx="132">
                  <c:v>-4.7463936714750958E-2</c:v>
                </c:pt>
                <c:pt idx="133">
                  <c:v>6.957917509944854E-2</c:v>
                </c:pt>
                <c:pt idx="134">
                  <c:v>-1.4941928748531818E-2</c:v>
                </c:pt>
                <c:pt idx="135">
                  <c:v>1.0531893753725815E-2</c:v>
                </c:pt>
                <c:pt idx="136">
                  <c:v>0</c:v>
                </c:pt>
                <c:pt idx="137">
                  <c:v>-1.1274252753015088E-2</c:v>
                </c:pt>
                <c:pt idx="138">
                  <c:v>-2.2540440201538653E-3</c:v>
                </c:pt>
                <c:pt idx="139">
                  <c:v>4.1860465116278769E-3</c:v>
                </c:pt>
                <c:pt idx="140">
                  <c:v>7.3446701515252674E-3</c:v>
                </c:pt>
                <c:pt idx="141">
                  <c:v>1.1954808197582644E-2</c:v>
                </c:pt>
                <c:pt idx="142">
                  <c:v>-2.5963910164861974E-4</c:v>
                </c:pt>
                <c:pt idx="143">
                  <c:v>-2.6425139592260775E-2</c:v>
                </c:pt>
                <c:pt idx="144">
                  <c:v>-1.333777925975325E-3</c:v>
                </c:pt>
                <c:pt idx="145">
                  <c:v>-1.9365609348915465E-3</c:v>
                </c:pt>
                <c:pt idx="146">
                  <c:v>-6.556938311253817E-3</c:v>
                </c:pt>
                <c:pt idx="147">
                  <c:v>-2.4178340517241288E-2</c:v>
                </c:pt>
                <c:pt idx="148">
                  <c:v>-4.9002691697150498E-3</c:v>
                </c:pt>
                <c:pt idx="149">
                  <c:v>0</c:v>
                </c:pt>
                <c:pt idx="150">
                  <c:v>2.7743098904147593E-3</c:v>
                </c:pt>
                <c:pt idx="151">
                  <c:v>5.5332687785306024E-4</c:v>
                </c:pt>
                <c:pt idx="152">
                  <c:v>2.0323517212774846E-2</c:v>
                </c:pt>
                <c:pt idx="153">
                  <c:v>-1.1856368563685637E-2</c:v>
                </c:pt>
                <c:pt idx="154">
                  <c:v>2.5025711347274597E-2</c:v>
                </c:pt>
                <c:pt idx="155">
                  <c:v>9.5652173913043179E-3</c:v>
                </c:pt>
                <c:pt idx="156">
                  <c:v>3.7103292917247312E-3</c:v>
                </c:pt>
                <c:pt idx="157">
                  <c:v>-1.4324377846722585E-2</c:v>
                </c:pt>
                <c:pt idx="158">
                  <c:v>-2.2100187516742261E-3</c:v>
                </c:pt>
                <c:pt idx="159">
                  <c:v>-1.0403382777367609E-2</c:v>
                </c:pt>
                <c:pt idx="160">
                  <c:v>-1.9669017905589331E-3</c:v>
                </c:pt>
                <c:pt idx="161">
                  <c:v>-2.0659191301393199E-2</c:v>
                </c:pt>
                <c:pt idx="162">
                  <c:v>1.3739504545139256E-2</c:v>
                </c:pt>
                <c:pt idx="163">
                  <c:v>0</c:v>
                </c:pt>
                <c:pt idx="164">
                  <c:v>7.8718598124443828E-3</c:v>
                </c:pt>
                <c:pt idx="165">
                  <c:v>3.8101059494702459E-2</c:v>
                </c:pt>
                <c:pt idx="166">
                  <c:v>0</c:v>
                </c:pt>
                <c:pt idx="167">
                  <c:v>-2.028132155708151E-3</c:v>
                </c:pt>
                <c:pt idx="168">
                  <c:v>-1.3701324242821614E-2</c:v>
                </c:pt>
                <c:pt idx="169">
                  <c:v>-2.8580923894981421E-3</c:v>
                </c:pt>
                <c:pt idx="170">
                  <c:v>6.7990934542061362E-3</c:v>
                </c:pt>
                <c:pt idx="171">
                  <c:v>-1.0990466101695006E-2</c:v>
                </c:pt>
                <c:pt idx="172">
                  <c:v>-7.6984870799303795E-3</c:v>
                </c:pt>
                <c:pt idx="173">
                  <c:v>2.1588072589894393E-3</c:v>
                </c:pt>
                <c:pt idx="174">
                  <c:v>-1.184786267250078E-2</c:v>
                </c:pt>
                <c:pt idx="175">
                  <c:v>-8.1749437972617031E-4</c:v>
                </c:pt>
                <c:pt idx="176">
                  <c:v>6.8862071316560369E-3</c:v>
                </c:pt>
                <c:pt idx="177">
                  <c:v>2.4851029252437734E-2</c:v>
                </c:pt>
                <c:pt idx="178">
                  <c:v>1.1100099108027721E-2</c:v>
                </c:pt>
                <c:pt idx="179">
                  <c:v>1.3984186107299281E-2</c:v>
                </c:pt>
                <c:pt idx="180">
                  <c:v>-6.3800992459883297E-3</c:v>
                </c:pt>
                <c:pt idx="181">
                  <c:v>-2.5295109612141653E-2</c:v>
                </c:pt>
                <c:pt idx="182">
                  <c:v>3.1940377961138904E-3</c:v>
                </c:pt>
                <c:pt idx="183">
                  <c:v>-1.4062085433801949E-2</c:v>
                </c:pt>
                <c:pt idx="184">
                  <c:v>3.6800322927879318E-2</c:v>
                </c:pt>
                <c:pt idx="185">
                  <c:v>-2.9848809292063521E-3</c:v>
                </c:pt>
                <c:pt idx="186">
                  <c:v>5.5320533680442568E-3</c:v>
                </c:pt>
                <c:pt idx="187">
                  <c:v>1.9417475728155339E-3</c:v>
                </c:pt>
                <c:pt idx="188">
                  <c:v>-1.1240310077519439E-2</c:v>
                </c:pt>
                <c:pt idx="189">
                  <c:v>1.7836142689141632E-2</c:v>
                </c:pt>
                <c:pt idx="190">
                  <c:v>5.4560626484369979E-3</c:v>
                </c:pt>
                <c:pt idx="191">
                  <c:v>-4.0219611848826492E-3</c:v>
                </c:pt>
                <c:pt idx="192">
                  <c:v>2.4998397538619904E-3</c:v>
                </c:pt>
                <c:pt idx="193">
                  <c:v>-1.9181585677749361E-3</c:v>
                </c:pt>
                <c:pt idx="194">
                  <c:v>1.1338885329916748E-2</c:v>
                </c:pt>
                <c:pt idx="195">
                  <c:v>1.1971875593842949E-2</c:v>
                </c:pt>
                <c:pt idx="196">
                  <c:v>1.1642463695543401E-2</c:v>
                </c:pt>
                <c:pt idx="197">
                  <c:v>-3.3411706471971852E-3</c:v>
                </c:pt>
                <c:pt idx="198">
                  <c:v>-7.3255525204866867E-3</c:v>
                </c:pt>
                <c:pt idx="199">
                  <c:v>-8.8805503439650067E-3</c:v>
                </c:pt>
                <c:pt idx="200">
                  <c:v>8.3291267036850365E-3</c:v>
                </c:pt>
                <c:pt idx="201">
                  <c:v>1.2515644555697464E-4</c:v>
                </c:pt>
                <c:pt idx="202">
                  <c:v>5.3810536853960136E-3</c:v>
                </c:pt>
                <c:pt idx="203">
                  <c:v>-8.6507343788896334E-3</c:v>
                </c:pt>
                <c:pt idx="204">
                  <c:v>5.712850775315405E-3</c:v>
                </c:pt>
                <c:pt idx="205">
                  <c:v>1.5480649188514328E-2</c:v>
                </c:pt>
                <c:pt idx="206">
                  <c:v>7.3149741824441181E-3</c:v>
                </c:pt>
                <c:pt idx="207">
                  <c:v>3.1061207054372285E-2</c:v>
                </c:pt>
                <c:pt idx="208">
                  <c:v>-1.2606534090909064E-2</c:v>
                </c:pt>
                <c:pt idx="209">
                  <c:v>-2.9371216208115229E-3</c:v>
                </c:pt>
                <c:pt idx="210">
                  <c:v>-4.3886016592522437E-3</c:v>
                </c:pt>
                <c:pt idx="211">
                  <c:v>-6.8836422921320353E-3</c:v>
                </c:pt>
                <c:pt idx="212">
                  <c:v>-1.404511461056736E-2</c:v>
                </c:pt>
                <c:pt idx="213">
                  <c:v>-3.8233843117907117E-3</c:v>
                </c:pt>
                <c:pt idx="214">
                  <c:v>8.9142008171349905E-3</c:v>
                </c:pt>
                <c:pt idx="215">
                  <c:v>6.5038655049700191E-3</c:v>
                </c:pt>
                <c:pt idx="216">
                  <c:v>-2.0726652036088759E-2</c:v>
                </c:pt>
                <c:pt idx="217">
                  <c:v>3.6105577689242744E-3</c:v>
                </c:pt>
                <c:pt idx="218">
                  <c:v>1.6623247736012873E-2</c:v>
                </c:pt>
                <c:pt idx="219">
                  <c:v>-1.5680292861500942E-2</c:v>
                </c:pt>
                <c:pt idx="220">
                  <c:v>4.9587801400852573E-4</c:v>
                </c:pt>
                <c:pt idx="221">
                  <c:v>-1.1275633479957759E-2</c:v>
                </c:pt>
                <c:pt idx="222">
                  <c:v>1.9424775988469885E-3</c:v>
                </c:pt>
                <c:pt idx="223">
                  <c:v>5.0031269543461825E-4</c:v>
                </c:pt>
                <c:pt idx="224">
                  <c:v>5.625703212901613E-2</c:v>
                </c:pt>
                <c:pt idx="225">
                  <c:v>-5.0893596875369327E-3</c:v>
                </c:pt>
                <c:pt idx="226">
                  <c:v>-1.3264334998810346E-2</c:v>
                </c:pt>
                <c:pt idx="227">
                  <c:v>-2.7126409066248716E-3</c:v>
                </c:pt>
                <c:pt idx="228">
                  <c:v>5.5004835589941422E-3</c:v>
                </c:pt>
                <c:pt idx="229">
                  <c:v>4.3883378418995821E-3</c:v>
                </c:pt>
                <c:pt idx="230">
                  <c:v>7.1223366052191118E-3</c:v>
                </c:pt>
                <c:pt idx="231">
                  <c:v>-9.6273845605277502E-3</c:v>
                </c:pt>
                <c:pt idx="232">
                  <c:v>-4.2004200420042003E-3</c:v>
                </c:pt>
                <c:pt idx="233">
                  <c:v>-1.1147936125338957E-2</c:v>
                </c:pt>
                <c:pt idx="234">
                  <c:v>8.2266910420475316E-3</c:v>
                </c:pt>
                <c:pt idx="235">
                  <c:v>-1.5170746449078216E-2</c:v>
                </c:pt>
                <c:pt idx="236">
                  <c:v>1.6325027617527868E-2</c:v>
                </c:pt>
                <c:pt idx="237">
                  <c:v>-7.258454106280196E-2</c:v>
                </c:pt>
                <c:pt idx="238">
                  <c:v>-1.0157572600598977E-2</c:v>
                </c:pt>
                <c:pt idx="239">
                  <c:v>-8.6172871990528449E-3</c:v>
                </c:pt>
                <c:pt idx="240">
                  <c:v>-6.5689071727157216E-3</c:v>
                </c:pt>
                <c:pt idx="241">
                  <c:v>4.0074806305096785E-4</c:v>
                </c:pt>
                <c:pt idx="242">
                  <c:v>-1.7292028308185249E-2</c:v>
                </c:pt>
                <c:pt idx="243">
                  <c:v>-5.8359942930905691E-2</c:v>
                </c:pt>
                <c:pt idx="244">
                  <c:v>-1.2193362193362259E-2</c:v>
                </c:pt>
                <c:pt idx="245">
                  <c:v>-2.5564239281279677E-3</c:v>
                </c:pt>
                <c:pt idx="246">
                  <c:v>1.8746338605741167E-2</c:v>
                </c:pt>
                <c:pt idx="247">
                  <c:v>-1.257906843013226E-2</c:v>
                </c:pt>
                <c:pt idx="248">
                  <c:v>-2.329475140132522E-3</c:v>
                </c:pt>
                <c:pt idx="249">
                  <c:v>-1.2623130244436304E-2</c:v>
                </c:pt>
                <c:pt idx="250">
                  <c:v>-1.8992018918120045E-2</c:v>
                </c:pt>
                <c:pt idx="251">
                  <c:v>-3.9171374764595104E-2</c:v>
                </c:pt>
                <c:pt idx="252">
                  <c:v>1.1446491571932504E-2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F-4197-A681-5A3B14F64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270624"/>
        <c:axId val="869272544"/>
      </c:lineChart>
      <c:dateAx>
        <c:axId val="86927062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72544"/>
        <c:crosses val="autoZero"/>
        <c:auto val="1"/>
        <c:lblOffset val="100"/>
        <c:baseTimeUnit val="days"/>
      </c:dateAx>
      <c:valAx>
        <c:axId val="8692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27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</a:t>
            </a:r>
            <a:r>
              <a:rPr lang="en-IN" baseline="0"/>
              <a:t> Rs. Invested in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'Brown Stocks'!$U$3:$U$250</c:f>
              <c:strCache>
                <c:ptCount val="248"/>
                <c:pt idx="0">
                  <c:v>Date  </c:v>
                </c:pt>
                <c:pt idx="1">
                  <c:v>27-Feb-25</c:v>
                </c:pt>
                <c:pt idx="2">
                  <c:v>28-Feb-25</c:v>
                </c:pt>
                <c:pt idx="3">
                  <c:v>03-Mar-25</c:v>
                </c:pt>
                <c:pt idx="4">
                  <c:v>04-Mar-25</c:v>
                </c:pt>
                <c:pt idx="5">
                  <c:v>05-Mar-25</c:v>
                </c:pt>
                <c:pt idx="6">
                  <c:v>06-Mar-25</c:v>
                </c:pt>
                <c:pt idx="7">
                  <c:v>07-Mar-25</c:v>
                </c:pt>
                <c:pt idx="8">
                  <c:v>10-Mar-25</c:v>
                </c:pt>
                <c:pt idx="9">
                  <c:v>11-Mar-25</c:v>
                </c:pt>
                <c:pt idx="10">
                  <c:v>12-Mar-25</c:v>
                </c:pt>
                <c:pt idx="11">
                  <c:v>13-Mar-25</c:v>
                </c:pt>
                <c:pt idx="12">
                  <c:v>17-Mar-25</c:v>
                </c:pt>
                <c:pt idx="13">
                  <c:v>18-Mar-25</c:v>
                </c:pt>
                <c:pt idx="14">
                  <c:v>19-Mar-25</c:v>
                </c:pt>
                <c:pt idx="15">
                  <c:v>20-Mar-25</c:v>
                </c:pt>
                <c:pt idx="16">
                  <c:v>21-Mar-25</c:v>
                </c:pt>
                <c:pt idx="17">
                  <c:v>24-Mar-25</c:v>
                </c:pt>
                <c:pt idx="18">
                  <c:v>25-Mar-25</c:v>
                </c:pt>
                <c:pt idx="19">
                  <c:v>26-Mar-25</c:v>
                </c:pt>
                <c:pt idx="20">
                  <c:v>27-Mar-25</c:v>
                </c:pt>
                <c:pt idx="21">
                  <c:v>28-Mar-25</c:v>
                </c:pt>
                <c:pt idx="22">
                  <c:v>01-Apr-25</c:v>
                </c:pt>
                <c:pt idx="23">
                  <c:v>02-Apr-25</c:v>
                </c:pt>
                <c:pt idx="24">
                  <c:v>03-Apr-25</c:v>
                </c:pt>
                <c:pt idx="25">
                  <c:v>04-Apr-25</c:v>
                </c:pt>
                <c:pt idx="26">
                  <c:v>07-Apr-25</c:v>
                </c:pt>
                <c:pt idx="27">
                  <c:v>08-Apr-25</c:v>
                </c:pt>
                <c:pt idx="28">
                  <c:v>09-Apr-25</c:v>
                </c:pt>
                <c:pt idx="29">
                  <c:v>11-Apr-25</c:v>
                </c:pt>
                <c:pt idx="30">
                  <c:v>15-Apr-25</c:v>
                </c:pt>
                <c:pt idx="31">
                  <c:v>16-Apr-25</c:v>
                </c:pt>
                <c:pt idx="32">
                  <c:v>17-Apr-25</c:v>
                </c:pt>
                <c:pt idx="33">
                  <c:v>21-Apr-25</c:v>
                </c:pt>
                <c:pt idx="34">
                  <c:v>22-Apr-25</c:v>
                </c:pt>
                <c:pt idx="35">
                  <c:v>23-Apr-25</c:v>
                </c:pt>
                <c:pt idx="36">
                  <c:v>24-Apr-25</c:v>
                </c:pt>
                <c:pt idx="37">
                  <c:v>25-Apr-25</c:v>
                </c:pt>
                <c:pt idx="38">
                  <c:v>28-Apr-25</c:v>
                </c:pt>
                <c:pt idx="39">
                  <c:v>29-Apr-25</c:v>
                </c:pt>
                <c:pt idx="40">
                  <c:v>30-Apr-25</c:v>
                </c:pt>
                <c:pt idx="41">
                  <c:v>02-May-25</c:v>
                </c:pt>
                <c:pt idx="42">
                  <c:v>05-May-25</c:v>
                </c:pt>
                <c:pt idx="43">
                  <c:v>06-May-25</c:v>
                </c:pt>
                <c:pt idx="44">
                  <c:v>07-May-25</c:v>
                </c:pt>
                <c:pt idx="45">
                  <c:v>08-May-25</c:v>
                </c:pt>
                <c:pt idx="46">
                  <c:v>09-May-25</c:v>
                </c:pt>
                <c:pt idx="47">
                  <c:v>12-May-25</c:v>
                </c:pt>
                <c:pt idx="48">
                  <c:v>13-May-25</c:v>
                </c:pt>
                <c:pt idx="49">
                  <c:v>14-May-25</c:v>
                </c:pt>
                <c:pt idx="50">
                  <c:v>15-May-25</c:v>
                </c:pt>
                <c:pt idx="51">
                  <c:v>16-May-25</c:v>
                </c:pt>
                <c:pt idx="52">
                  <c:v>19-May-25</c:v>
                </c:pt>
                <c:pt idx="53">
                  <c:v>20-May-25</c:v>
                </c:pt>
                <c:pt idx="54">
                  <c:v>21-May-25</c:v>
                </c:pt>
                <c:pt idx="55">
                  <c:v>22-May-25</c:v>
                </c:pt>
                <c:pt idx="56">
                  <c:v>23-May-25</c:v>
                </c:pt>
                <c:pt idx="57">
                  <c:v>26-May-25</c:v>
                </c:pt>
                <c:pt idx="58">
                  <c:v>27-May-25</c:v>
                </c:pt>
                <c:pt idx="59">
                  <c:v>28-May-25</c:v>
                </c:pt>
                <c:pt idx="60">
                  <c:v>29-May-25</c:v>
                </c:pt>
                <c:pt idx="61">
                  <c:v>30-May-25</c:v>
                </c:pt>
                <c:pt idx="62">
                  <c:v>02-Jun-25</c:v>
                </c:pt>
                <c:pt idx="63">
                  <c:v>03-Jun-25</c:v>
                </c:pt>
                <c:pt idx="64">
                  <c:v>04-Jun-25</c:v>
                </c:pt>
                <c:pt idx="65">
                  <c:v>05-Jun-25</c:v>
                </c:pt>
                <c:pt idx="66">
                  <c:v>06-Jun-25</c:v>
                </c:pt>
                <c:pt idx="67">
                  <c:v>09-Jun-25</c:v>
                </c:pt>
                <c:pt idx="68">
                  <c:v>10-Jun-25</c:v>
                </c:pt>
                <c:pt idx="69">
                  <c:v>11-Jun-25</c:v>
                </c:pt>
                <c:pt idx="70">
                  <c:v>12-Jun-25</c:v>
                </c:pt>
                <c:pt idx="71">
                  <c:v>13-Jun-25</c:v>
                </c:pt>
                <c:pt idx="72">
                  <c:v>16-Jun-25</c:v>
                </c:pt>
                <c:pt idx="73">
                  <c:v>17-Jun-25</c:v>
                </c:pt>
                <c:pt idx="74">
                  <c:v>18-Jun-25</c:v>
                </c:pt>
                <c:pt idx="75">
                  <c:v>19-Jun-25</c:v>
                </c:pt>
                <c:pt idx="76">
                  <c:v>20-Jun-25</c:v>
                </c:pt>
                <c:pt idx="77">
                  <c:v>23-Jun-25</c:v>
                </c:pt>
                <c:pt idx="78">
                  <c:v>24-Jun-25</c:v>
                </c:pt>
                <c:pt idx="79">
                  <c:v>25-Jun-25</c:v>
                </c:pt>
                <c:pt idx="80">
                  <c:v>26-Jun-25</c:v>
                </c:pt>
                <c:pt idx="81">
                  <c:v>27-Jun-25</c:v>
                </c:pt>
                <c:pt idx="82">
                  <c:v>30-Jun-25</c:v>
                </c:pt>
                <c:pt idx="83">
                  <c:v>01-Jul-25</c:v>
                </c:pt>
                <c:pt idx="84">
                  <c:v>02-Jul-25</c:v>
                </c:pt>
                <c:pt idx="85">
                  <c:v>03-Jul-25</c:v>
                </c:pt>
                <c:pt idx="86">
                  <c:v>04-Jul-25</c:v>
                </c:pt>
                <c:pt idx="87">
                  <c:v>07-Jul-25</c:v>
                </c:pt>
                <c:pt idx="88">
                  <c:v>08-Jul-25</c:v>
                </c:pt>
                <c:pt idx="89">
                  <c:v>09-Jul-25</c:v>
                </c:pt>
                <c:pt idx="90">
                  <c:v>10-Jul-25</c:v>
                </c:pt>
                <c:pt idx="91">
                  <c:v>11-Jul-25</c:v>
                </c:pt>
                <c:pt idx="92">
                  <c:v>14-Jul-25</c:v>
                </c:pt>
                <c:pt idx="93">
                  <c:v>15-Jul-25</c:v>
                </c:pt>
                <c:pt idx="94">
                  <c:v>16-Jul-25</c:v>
                </c:pt>
                <c:pt idx="95">
                  <c:v>17-Jul-25</c:v>
                </c:pt>
                <c:pt idx="96">
                  <c:v>18-Jul-25</c:v>
                </c:pt>
                <c:pt idx="97">
                  <c:v>21-Jul-25</c:v>
                </c:pt>
                <c:pt idx="98">
                  <c:v>22-Jul-25</c:v>
                </c:pt>
                <c:pt idx="99">
                  <c:v>23-Jul-25</c:v>
                </c:pt>
                <c:pt idx="100">
                  <c:v>24-Jul-25</c:v>
                </c:pt>
                <c:pt idx="101">
                  <c:v>25-Jul-25</c:v>
                </c:pt>
                <c:pt idx="102">
                  <c:v>28-Jul-25</c:v>
                </c:pt>
                <c:pt idx="103">
                  <c:v>29-Jul-25</c:v>
                </c:pt>
                <c:pt idx="104">
                  <c:v>30-Jul-25</c:v>
                </c:pt>
                <c:pt idx="105">
                  <c:v>31-Jul-25</c:v>
                </c:pt>
                <c:pt idx="106">
                  <c:v>01-Aug-25</c:v>
                </c:pt>
                <c:pt idx="107">
                  <c:v>04-Aug-25</c:v>
                </c:pt>
                <c:pt idx="108">
                  <c:v>05-Aug-25</c:v>
                </c:pt>
                <c:pt idx="109">
                  <c:v>06-Aug-25</c:v>
                </c:pt>
                <c:pt idx="110">
                  <c:v>07-Aug-25</c:v>
                </c:pt>
                <c:pt idx="111">
                  <c:v>08-Aug-25</c:v>
                </c:pt>
                <c:pt idx="112">
                  <c:v>11-Aug-25</c:v>
                </c:pt>
                <c:pt idx="113">
                  <c:v>12-Aug-25</c:v>
                </c:pt>
                <c:pt idx="114">
                  <c:v>13-Aug-25</c:v>
                </c:pt>
                <c:pt idx="115">
                  <c:v>14-Aug-25</c:v>
                </c:pt>
                <c:pt idx="116">
                  <c:v>18-Aug-25</c:v>
                </c:pt>
                <c:pt idx="117">
                  <c:v>19-Aug-25</c:v>
                </c:pt>
                <c:pt idx="118">
                  <c:v>20-Aug-25</c:v>
                </c:pt>
                <c:pt idx="119">
                  <c:v>21-Aug-25</c:v>
                </c:pt>
                <c:pt idx="120">
                  <c:v>22-Aug-25</c:v>
                </c:pt>
                <c:pt idx="121">
                  <c:v>25-Aug-25</c:v>
                </c:pt>
                <c:pt idx="122">
                  <c:v>26-Aug-25</c:v>
                </c:pt>
                <c:pt idx="123">
                  <c:v>28-Aug-25</c:v>
                </c:pt>
                <c:pt idx="124">
                  <c:v>29-Aug-25</c:v>
                </c:pt>
                <c:pt idx="125">
                  <c:v>01-Sep-25</c:v>
                </c:pt>
                <c:pt idx="126">
                  <c:v>02-Sep-25</c:v>
                </c:pt>
                <c:pt idx="127">
                  <c:v>03-Sep-25</c:v>
                </c:pt>
                <c:pt idx="128">
                  <c:v>04-Sep-25</c:v>
                </c:pt>
                <c:pt idx="129">
                  <c:v>05-Sep-25</c:v>
                </c:pt>
                <c:pt idx="130">
                  <c:v>08-Sep-25</c:v>
                </c:pt>
                <c:pt idx="131">
                  <c:v>09-Sep-25</c:v>
                </c:pt>
                <c:pt idx="132">
                  <c:v>10-Sep-25</c:v>
                </c:pt>
                <c:pt idx="133">
                  <c:v>11-Sep-25</c:v>
                </c:pt>
                <c:pt idx="134">
                  <c:v>12-Sep-25</c:v>
                </c:pt>
                <c:pt idx="135">
                  <c:v>15-Sep-25</c:v>
                </c:pt>
                <c:pt idx="136">
                  <c:v>16-Sep-25</c:v>
                </c:pt>
                <c:pt idx="137">
                  <c:v>17-Sep-25</c:v>
                </c:pt>
                <c:pt idx="138">
                  <c:v>18-Sep-25</c:v>
                </c:pt>
                <c:pt idx="139">
                  <c:v>19-Sep-25</c:v>
                </c:pt>
                <c:pt idx="140">
                  <c:v>22-Sep-25</c:v>
                </c:pt>
                <c:pt idx="141">
                  <c:v>23-Sep-25</c:v>
                </c:pt>
                <c:pt idx="142">
                  <c:v>24-Sep-25</c:v>
                </c:pt>
                <c:pt idx="143">
                  <c:v>25-Sep-25</c:v>
                </c:pt>
                <c:pt idx="144">
                  <c:v>26-Sep-25</c:v>
                </c:pt>
                <c:pt idx="145">
                  <c:v>29-Sep-25</c:v>
                </c:pt>
                <c:pt idx="146">
                  <c:v>30-Sep-25</c:v>
                </c:pt>
                <c:pt idx="147">
                  <c:v>01-Oct-25</c:v>
                </c:pt>
                <c:pt idx="148">
                  <c:v>03-Oct-25</c:v>
                </c:pt>
                <c:pt idx="149">
                  <c:v>06-Oct-25</c:v>
                </c:pt>
                <c:pt idx="150">
                  <c:v>07-Oct-25</c:v>
                </c:pt>
                <c:pt idx="151">
                  <c:v>08-Oct-25</c:v>
                </c:pt>
                <c:pt idx="152">
                  <c:v>09-Oct-25</c:v>
                </c:pt>
                <c:pt idx="153">
                  <c:v>10-Oct-25</c:v>
                </c:pt>
                <c:pt idx="154">
                  <c:v>13-Oct-25</c:v>
                </c:pt>
                <c:pt idx="155">
                  <c:v>14-Oct-25</c:v>
                </c:pt>
                <c:pt idx="156">
                  <c:v>15-Oct-25</c:v>
                </c:pt>
                <c:pt idx="157">
                  <c:v>16-Oct-25</c:v>
                </c:pt>
                <c:pt idx="158">
                  <c:v>17-Oct-25</c:v>
                </c:pt>
                <c:pt idx="159">
                  <c:v>20-Oct-25</c:v>
                </c:pt>
                <c:pt idx="160">
                  <c:v>21-Oct-25</c:v>
                </c:pt>
                <c:pt idx="161">
                  <c:v>23-Oct-25</c:v>
                </c:pt>
                <c:pt idx="162">
                  <c:v>24-Oct-25</c:v>
                </c:pt>
                <c:pt idx="163">
                  <c:v>27-Oct-25</c:v>
                </c:pt>
                <c:pt idx="164">
                  <c:v>28-Oct-25</c:v>
                </c:pt>
                <c:pt idx="165">
                  <c:v>29-Oct-25</c:v>
                </c:pt>
                <c:pt idx="166">
                  <c:v>30-Oct-25</c:v>
                </c:pt>
                <c:pt idx="167">
                  <c:v>31-Oct-25</c:v>
                </c:pt>
                <c:pt idx="168">
                  <c:v>03-Nov-25</c:v>
                </c:pt>
                <c:pt idx="169">
                  <c:v>04-Nov-25</c:v>
                </c:pt>
                <c:pt idx="170">
                  <c:v>06-Nov-25</c:v>
                </c:pt>
                <c:pt idx="171">
                  <c:v>07-Nov-25</c:v>
                </c:pt>
                <c:pt idx="172">
                  <c:v>10-Nov-25</c:v>
                </c:pt>
                <c:pt idx="173">
                  <c:v>11-Nov-25</c:v>
                </c:pt>
                <c:pt idx="174">
                  <c:v>12-Nov-25</c:v>
                </c:pt>
                <c:pt idx="175">
                  <c:v>13-Nov-25</c:v>
                </c:pt>
                <c:pt idx="176">
                  <c:v>14-Nov-25</c:v>
                </c:pt>
                <c:pt idx="177">
                  <c:v>17-Nov-25</c:v>
                </c:pt>
                <c:pt idx="178">
                  <c:v>18-Nov-25</c:v>
                </c:pt>
                <c:pt idx="179">
                  <c:v>19-Nov-25</c:v>
                </c:pt>
                <c:pt idx="180">
                  <c:v>20-Nov-25</c:v>
                </c:pt>
                <c:pt idx="181">
                  <c:v>21-Nov-25</c:v>
                </c:pt>
                <c:pt idx="182">
                  <c:v>24-Nov-25</c:v>
                </c:pt>
                <c:pt idx="183">
                  <c:v>25-Nov-25</c:v>
                </c:pt>
                <c:pt idx="184">
                  <c:v>26-Nov-25</c:v>
                </c:pt>
                <c:pt idx="185">
                  <c:v>27-Nov-25</c:v>
                </c:pt>
                <c:pt idx="186">
                  <c:v>28-Nov-25</c:v>
                </c:pt>
                <c:pt idx="187">
                  <c:v>01-Dec-25</c:v>
                </c:pt>
                <c:pt idx="188">
                  <c:v>02-Dec-25</c:v>
                </c:pt>
                <c:pt idx="189">
                  <c:v>03-Dec-25</c:v>
                </c:pt>
                <c:pt idx="190">
                  <c:v>04-Dec-25</c:v>
                </c:pt>
                <c:pt idx="191">
                  <c:v>05-Dec-25</c:v>
                </c:pt>
                <c:pt idx="192">
                  <c:v>08-Dec-25</c:v>
                </c:pt>
                <c:pt idx="193">
                  <c:v>09-Dec-25</c:v>
                </c:pt>
                <c:pt idx="194">
                  <c:v>10-Dec-25</c:v>
                </c:pt>
                <c:pt idx="195">
                  <c:v>11-Dec-25</c:v>
                </c:pt>
                <c:pt idx="196">
                  <c:v>12-Dec-25</c:v>
                </c:pt>
                <c:pt idx="197">
                  <c:v>15-Dec-25</c:v>
                </c:pt>
                <c:pt idx="198">
                  <c:v>16-Dec-25</c:v>
                </c:pt>
                <c:pt idx="199">
                  <c:v>17-Dec-25</c:v>
                </c:pt>
                <c:pt idx="200">
                  <c:v>18-Dec-25</c:v>
                </c:pt>
                <c:pt idx="201">
                  <c:v>19-Dec-25</c:v>
                </c:pt>
                <c:pt idx="202">
                  <c:v>22-Dec-25</c:v>
                </c:pt>
                <c:pt idx="203">
                  <c:v>23-Dec-25</c:v>
                </c:pt>
                <c:pt idx="204">
                  <c:v>24-Dec-25</c:v>
                </c:pt>
                <c:pt idx="205">
                  <c:v>26-Dec-25</c:v>
                </c:pt>
                <c:pt idx="206">
                  <c:v>29-Dec-25</c:v>
                </c:pt>
                <c:pt idx="207">
                  <c:v>30-Dec-25</c:v>
                </c:pt>
                <c:pt idx="208">
                  <c:v>31-Dec-25</c:v>
                </c:pt>
                <c:pt idx="209">
                  <c:v>01-Jan-26</c:v>
                </c:pt>
                <c:pt idx="210">
                  <c:v>02-Jan-26</c:v>
                </c:pt>
                <c:pt idx="211">
                  <c:v>05-Jan-26</c:v>
                </c:pt>
                <c:pt idx="212">
                  <c:v>06-Jan-26</c:v>
                </c:pt>
                <c:pt idx="213">
                  <c:v>07-Jan-26</c:v>
                </c:pt>
                <c:pt idx="214">
                  <c:v>08-Jan-26</c:v>
                </c:pt>
                <c:pt idx="215">
                  <c:v>09-Jan-26</c:v>
                </c:pt>
                <c:pt idx="216">
                  <c:v>12-Jan-26</c:v>
                </c:pt>
                <c:pt idx="217">
                  <c:v>13-Jan-26</c:v>
                </c:pt>
                <c:pt idx="218">
                  <c:v>14-Jan-26</c:v>
                </c:pt>
                <c:pt idx="219">
                  <c:v>16-Jan-26</c:v>
                </c:pt>
                <c:pt idx="220">
                  <c:v>19-Jan-26</c:v>
                </c:pt>
                <c:pt idx="221">
                  <c:v>20-Jan-26</c:v>
                </c:pt>
                <c:pt idx="222">
                  <c:v>21-Jan-26</c:v>
                </c:pt>
                <c:pt idx="223">
                  <c:v>22-Jan-26</c:v>
                </c:pt>
                <c:pt idx="224">
                  <c:v>23-Jan-26</c:v>
                </c:pt>
                <c:pt idx="225">
                  <c:v>27-Jan-26</c:v>
                </c:pt>
                <c:pt idx="226">
                  <c:v>28-Jan-26</c:v>
                </c:pt>
                <c:pt idx="227">
                  <c:v>29-Jan-26</c:v>
                </c:pt>
                <c:pt idx="228">
                  <c:v>30-Jan-26</c:v>
                </c:pt>
                <c:pt idx="229">
                  <c:v>01-Feb-26</c:v>
                </c:pt>
                <c:pt idx="230">
                  <c:v>02-Feb-26</c:v>
                </c:pt>
                <c:pt idx="231">
                  <c:v>03-Feb-26</c:v>
                </c:pt>
                <c:pt idx="232">
                  <c:v>04-Feb-26</c:v>
                </c:pt>
                <c:pt idx="233">
                  <c:v>05-Feb-26</c:v>
                </c:pt>
                <c:pt idx="234">
                  <c:v>06-Feb-26</c:v>
                </c:pt>
                <c:pt idx="235">
                  <c:v>09-Feb-26</c:v>
                </c:pt>
                <c:pt idx="236">
                  <c:v>10-Feb-26</c:v>
                </c:pt>
                <c:pt idx="237">
                  <c:v>11-Feb-26</c:v>
                </c:pt>
                <c:pt idx="238">
                  <c:v>12-Feb-26</c:v>
                </c:pt>
                <c:pt idx="239">
                  <c:v>13-Feb-26</c:v>
                </c:pt>
                <c:pt idx="240">
                  <c:v>16-Feb-26</c:v>
                </c:pt>
                <c:pt idx="241">
                  <c:v>17-Feb-26</c:v>
                </c:pt>
                <c:pt idx="242">
                  <c:v>18-Feb-26</c:v>
                </c:pt>
                <c:pt idx="243">
                  <c:v>19-Feb-26</c:v>
                </c:pt>
                <c:pt idx="244">
                  <c:v>20-Feb-26</c:v>
                </c:pt>
                <c:pt idx="245">
                  <c:v>23-Feb-26</c:v>
                </c:pt>
                <c:pt idx="246">
                  <c:v>24-Feb-26</c:v>
                </c:pt>
                <c:pt idx="247">
                  <c:v>25-Feb-26</c:v>
                </c:pt>
              </c:strCache>
            </c:strRef>
          </c:cat>
          <c:val>
            <c:numRef>
              <c:f>'Brown Stocks'!$Z$3:$Z$250</c:f>
              <c:numCache>
                <c:formatCode>General</c:formatCode>
                <c:ptCount val="248"/>
                <c:pt idx="0">
                  <c:v>100</c:v>
                </c:pt>
                <c:pt idx="1">
                  <c:v>100</c:v>
                </c:pt>
                <c:pt idx="2" formatCode="#,##0.00">
                  <c:v>96.833590683310405</c:v>
                </c:pt>
                <c:pt idx="3" formatCode="#,##0.00">
                  <c:v>97.364182917077486</c:v>
                </c:pt>
                <c:pt idx="4" formatCode="#,##0.00">
                  <c:v>97.568375973044056</c:v>
                </c:pt>
                <c:pt idx="5" formatCode="#,##0.00">
                  <c:v>98.65567509057604</c:v>
                </c:pt>
                <c:pt idx="6" formatCode="#,##0.00">
                  <c:v>99.173382727293131</c:v>
                </c:pt>
                <c:pt idx="7" formatCode="#,##0.00">
                  <c:v>99.055061755468827</c:v>
                </c:pt>
                <c:pt idx="8" formatCode="#,##0.00">
                  <c:v>98.81675750585967</c:v>
                </c:pt>
                <c:pt idx="9" formatCode="#,##0.00">
                  <c:v>98.72879774265769</c:v>
                </c:pt>
                <c:pt idx="10" formatCode="#,##0.00">
                  <c:v>98.864336725728407</c:v>
                </c:pt>
                <c:pt idx="11" formatCode="#,##0.00">
                  <c:v>97.895593333067012</c:v>
                </c:pt>
                <c:pt idx="12" formatCode="#,##0.00">
                  <c:v>98.329249129780749</c:v>
                </c:pt>
                <c:pt idx="13" formatCode="#,##0.00">
                  <c:v>99.684206653881446</c:v>
                </c:pt>
                <c:pt idx="14" formatCode="#,##0.00">
                  <c:v>100.28871074526211</c:v>
                </c:pt>
                <c:pt idx="15" formatCode="#,##0.00">
                  <c:v>101.0170010963073</c:v>
                </c:pt>
                <c:pt idx="16" formatCode="#,##0.00">
                  <c:v>101.28781209047595</c:v>
                </c:pt>
                <c:pt idx="17" formatCode="#,##0.00">
                  <c:v>103.06737292452272</c:v>
                </c:pt>
                <c:pt idx="18" formatCode="#,##0.00">
                  <c:v>103.07035645154248</c:v>
                </c:pt>
                <c:pt idx="19" formatCode="#,##0.00">
                  <c:v>102.42757536206756</c:v>
                </c:pt>
                <c:pt idx="20" formatCode="#,##0.00">
                  <c:v>103.23938961467125</c:v>
                </c:pt>
                <c:pt idx="21" formatCode="#,##0.00">
                  <c:v>102.4295038557234</c:v>
                </c:pt>
                <c:pt idx="22" formatCode="#,##0.00">
                  <c:v>101.82223472995361</c:v>
                </c:pt>
                <c:pt idx="23" formatCode="#,##0.00">
                  <c:v>101.92192777416902</c:v>
                </c:pt>
                <c:pt idx="24" formatCode="#,##0.00">
                  <c:v>102.79682205856989</c:v>
                </c:pt>
                <c:pt idx="25" formatCode="#,##0.00">
                  <c:v>101.49840380779399</c:v>
                </c:pt>
                <c:pt idx="26" formatCode="#,##0.00">
                  <c:v>98.952184542058077</c:v>
                </c:pt>
                <c:pt idx="27" formatCode="#,##0.00">
                  <c:v>99.89361622220909</c:v>
                </c:pt>
                <c:pt idx="28" formatCode="#,##0.00">
                  <c:v>99.321473800515676</c:v>
                </c:pt>
                <c:pt idx="29" formatCode="#,##0.00">
                  <c:v>99.41818201134214</c:v>
                </c:pt>
                <c:pt idx="30" formatCode="#,##0.00">
                  <c:v>100.64465087338594</c:v>
                </c:pt>
                <c:pt idx="31" formatCode="#,##0.00">
                  <c:v>100.65035207091792</c:v>
                </c:pt>
                <c:pt idx="32" formatCode="#,##0.00">
                  <c:v>102.02769298659095</c:v>
                </c:pt>
                <c:pt idx="33" formatCode="#,##0.00">
                  <c:v>102.95089140635115</c:v>
                </c:pt>
                <c:pt idx="34" formatCode="#,##0.00">
                  <c:v>103.77882692663</c:v>
                </c:pt>
                <c:pt idx="35" formatCode="#,##0.00">
                  <c:v>104.91707937282078</c:v>
                </c:pt>
                <c:pt idx="36" formatCode="#,##0.00">
                  <c:v>104.86323985404569</c:v>
                </c:pt>
                <c:pt idx="37" formatCode="#,##0.00">
                  <c:v>105.05498453346385</c:v>
                </c:pt>
                <c:pt idx="38" formatCode="#,##0.00">
                  <c:v>104.92904733426381</c:v>
                </c:pt>
                <c:pt idx="39" formatCode="#,##0.00">
                  <c:v>104.87340895266072</c:v>
                </c:pt>
                <c:pt idx="40" formatCode="#,##0.00">
                  <c:v>105.16766969974633</c:v>
                </c:pt>
                <c:pt idx="41" formatCode="#,##0.00">
                  <c:v>104.66766923779201</c:v>
                </c:pt>
                <c:pt idx="42" formatCode="#,##0.00">
                  <c:v>105.3160926294324</c:v>
                </c:pt>
                <c:pt idx="43" formatCode="#,##0.00">
                  <c:v>105.11963480010282</c:v>
                </c:pt>
                <c:pt idx="44" formatCode="#,##0.00">
                  <c:v>104.24296722237474</c:v>
                </c:pt>
                <c:pt idx="45" formatCode="#,##0.00">
                  <c:v>103.75932693750522</c:v>
                </c:pt>
                <c:pt idx="46" formatCode="#,##0.00">
                  <c:v>102.47279860499938</c:v>
                </c:pt>
                <c:pt idx="47" formatCode="#,##0.00">
                  <c:v>103.78745113596295</c:v>
                </c:pt>
                <c:pt idx="48" formatCode="#,##0.00">
                  <c:v>104.31027355419813</c:v>
                </c:pt>
                <c:pt idx="49" formatCode="#,##0.00">
                  <c:v>105.87521875528431</c:v>
                </c:pt>
                <c:pt idx="50" formatCode="#,##0.00">
                  <c:v>106.49156223595955</c:v>
                </c:pt>
                <c:pt idx="51" formatCode="#,##0.00">
                  <c:v>107.03320625305992</c:v>
                </c:pt>
                <c:pt idx="52" formatCode="#,##0.00">
                  <c:v>106.65405467291336</c:v>
                </c:pt>
                <c:pt idx="53" formatCode="#,##0.00">
                  <c:v>105.2643440951517</c:v>
                </c:pt>
                <c:pt idx="54" formatCode="#,##0.00">
                  <c:v>104.72860738322377</c:v>
                </c:pt>
                <c:pt idx="55" formatCode="#,##0.00">
                  <c:v>104.41968033777715</c:v>
                </c:pt>
                <c:pt idx="56" formatCode="#,##0.00">
                  <c:v>104.28174574154119</c:v>
                </c:pt>
                <c:pt idx="57" formatCode="#,##0.00">
                  <c:v>104.03528040436674</c:v>
                </c:pt>
                <c:pt idx="58" formatCode="#,##0.00">
                  <c:v>103.83185249841064</c:v>
                </c:pt>
                <c:pt idx="59" formatCode="#,##0.00">
                  <c:v>103.28667878356804</c:v>
                </c:pt>
                <c:pt idx="60" formatCode="#,##0.00">
                  <c:v>103.63903921147079</c:v>
                </c:pt>
                <c:pt idx="61" formatCode="#,##0.00">
                  <c:v>103.32397959171374</c:v>
                </c:pt>
                <c:pt idx="62" formatCode="#,##0.00">
                  <c:v>103.38023074340602</c:v>
                </c:pt>
                <c:pt idx="63" formatCode="#,##0.00">
                  <c:v>103.03974932574037</c:v>
                </c:pt>
                <c:pt idx="64" formatCode="#,##0.00">
                  <c:v>103.03691949170901</c:v>
                </c:pt>
                <c:pt idx="65" formatCode="#,##0.00">
                  <c:v>103.14786977589692</c:v>
                </c:pt>
                <c:pt idx="66" formatCode="#,##0.00">
                  <c:v>103.83971100742933</c:v>
                </c:pt>
                <c:pt idx="67" formatCode="#,##0.00">
                  <c:v>104.29185360891753</c:v>
                </c:pt>
                <c:pt idx="68" formatCode="#,##0.00">
                  <c:v>104.67360624248347</c:v>
                </c:pt>
                <c:pt idx="69" formatCode="#,##0.00">
                  <c:v>105.07352213489524</c:v>
                </c:pt>
                <c:pt idx="70" formatCode="#,##0.00">
                  <c:v>104.75602601171072</c:v>
                </c:pt>
                <c:pt idx="71" formatCode="#,##0.00">
                  <c:v>104.84582246441154</c:v>
                </c:pt>
                <c:pt idx="72" formatCode="#,##0.00">
                  <c:v>105.04924230386543</c:v>
                </c:pt>
                <c:pt idx="73" formatCode="#,##0.00">
                  <c:v>104.05944411584917</c:v>
                </c:pt>
                <c:pt idx="74" formatCode="#,##0.00">
                  <c:v>104.56429553128201</c:v>
                </c:pt>
                <c:pt idx="75" formatCode="#,##0.00">
                  <c:v>104.8365014127441</c:v>
                </c:pt>
                <c:pt idx="76" formatCode="#,##0.00">
                  <c:v>104.95756286976311</c:v>
                </c:pt>
                <c:pt idx="77" formatCode="#,##0.00">
                  <c:v>104.36957905288958</c:v>
                </c:pt>
                <c:pt idx="78" formatCode="#,##0.00">
                  <c:v>104.93877539781879</c:v>
                </c:pt>
                <c:pt idx="79" formatCode="#,##0.00">
                  <c:v>105.00019998624218</c:v>
                </c:pt>
                <c:pt idx="80" formatCode="#,##0.00">
                  <c:v>105.34962230170018</c:v>
                </c:pt>
                <c:pt idx="81" formatCode="#,##0.00">
                  <c:v>106.44169858164359</c:v>
                </c:pt>
                <c:pt idx="82" formatCode="#,##0.00">
                  <c:v>105.85976280719571</c:v>
                </c:pt>
                <c:pt idx="83" formatCode="#,##0.00">
                  <c:v>105.91724824651655</c:v>
                </c:pt>
                <c:pt idx="84" formatCode="#,##0.00">
                  <c:v>107.03467176261005</c:v>
                </c:pt>
                <c:pt idx="85" formatCode="#,##0.00">
                  <c:v>107.79424190465573</c:v>
                </c:pt>
                <c:pt idx="86" formatCode="#,##0.00">
                  <c:v>107.84677646184142</c:v>
                </c:pt>
                <c:pt idx="87" formatCode="#,##0.00">
                  <c:v>107.1303004175129</c:v>
                </c:pt>
                <c:pt idx="88" formatCode="#,##0.00">
                  <c:v>107.09594061854344</c:v>
                </c:pt>
                <c:pt idx="89" formatCode="#,##0.00">
                  <c:v>107.45440021718676</c:v>
                </c:pt>
                <c:pt idx="90" formatCode="#,##0.00">
                  <c:v>107.53226902147534</c:v>
                </c:pt>
                <c:pt idx="91" formatCode="#,##0.00">
                  <c:v>107.39168781829898</c:v>
                </c:pt>
                <c:pt idx="92" formatCode="#,##0.00">
                  <c:v>107.47766692926629</c:v>
                </c:pt>
                <c:pt idx="93" formatCode="#,##0.00">
                  <c:v>107.17231436556119</c:v>
                </c:pt>
                <c:pt idx="94" formatCode="#,##0.00">
                  <c:v>107.14199865434996</c:v>
                </c:pt>
                <c:pt idx="95" formatCode="#,##0.00">
                  <c:v>107.22417657341316</c:v>
                </c:pt>
                <c:pt idx="96" formatCode="#,##0.00">
                  <c:v>107.31649528795231</c:v>
                </c:pt>
                <c:pt idx="97" formatCode="#,##0.00">
                  <c:v>107.07516727747721</c:v>
                </c:pt>
                <c:pt idx="98" formatCode="#,##0.00">
                  <c:v>107.08293044184006</c:v>
                </c:pt>
                <c:pt idx="99" formatCode="#,##0.00">
                  <c:v>107.4864698910619</c:v>
                </c:pt>
                <c:pt idx="100" formatCode="#,##0.00">
                  <c:v>107.38166040072568</c:v>
                </c:pt>
                <c:pt idx="101" formatCode="#,##0.00">
                  <c:v>107.05593840825503</c:v>
                </c:pt>
                <c:pt idx="102" formatCode="#,##0.00">
                  <c:v>106.62286409407191</c:v>
                </c:pt>
                <c:pt idx="103" formatCode="#,##0.00">
                  <c:v>106.17829916044646</c:v>
                </c:pt>
                <c:pt idx="104" formatCode="#,##0.00">
                  <c:v>106.56950063161169</c:v>
                </c:pt>
                <c:pt idx="105" formatCode="#,##0.00">
                  <c:v>106.61823995457729</c:v>
                </c:pt>
                <c:pt idx="106" formatCode="#,##0.00">
                  <c:v>106.34437225618228</c:v>
                </c:pt>
                <c:pt idx="107" formatCode="#,##0.00">
                  <c:v>105.19504179006114</c:v>
                </c:pt>
                <c:pt idx="108" formatCode="#,##0.00">
                  <c:v>104.77174584712502</c:v>
                </c:pt>
                <c:pt idx="109" formatCode="#,##0.00">
                  <c:v>104.5889702731005</c:v>
                </c:pt>
                <c:pt idx="110" formatCode="#,##0.00">
                  <c:v>104.23340614414701</c:v>
                </c:pt>
                <c:pt idx="111" formatCode="#,##0.00">
                  <c:v>104.06262007344188</c:v>
                </c:pt>
                <c:pt idx="112" formatCode="#,##0.00">
                  <c:v>104.22942653990209</c:v>
                </c:pt>
                <c:pt idx="113" formatCode="#,##0.00">
                  <c:v>104.28949333284382</c:v>
                </c:pt>
                <c:pt idx="114" formatCode="#,##0.00">
                  <c:v>104.82979798885034</c:v>
                </c:pt>
                <c:pt idx="115" formatCode="#,##0.00">
                  <c:v>104.93378469802538</c:v>
                </c:pt>
                <c:pt idx="116" formatCode="#,##0.00">
                  <c:v>106.25591623198771</c:v>
                </c:pt>
                <c:pt idx="117" formatCode="#,##0.00">
                  <c:v>108.51175912852662</c:v>
                </c:pt>
                <c:pt idx="118" formatCode="#,##0.00">
                  <c:v>108.64573535884074</c:v>
                </c:pt>
                <c:pt idx="119" formatCode="#,##0.00">
                  <c:v>109.39117185658723</c:v>
                </c:pt>
                <c:pt idx="120" formatCode="#,##0.00">
                  <c:v>109.39611685659612</c:v>
                </c:pt>
                <c:pt idx="121" formatCode="#,##0.00">
                  <c:v>109.61064712608112</c:v>
                </c:pt>
                <c:pt idx="122" formatCode="#,##0.00">
                  <c:v>110.00824279098731</c:v>
                </c:pt>
                <c:pt idx="123" formatCode="#,##0.00">
                  <c:v>110.21571106557722</c:v>
                </c:pt>
                <c:pt idx="124" formatCode="#,##0.00">
                  <c:v>110.42322454296649</c:v>
                </c:pt>
                <c:pt idx="125" formatCode="#,##0.00">
                  <c:v>110.67157471046413</c:v>
                </c:pt>
                <c:pt idx="126" formatCode="#,##0.00">
                  <c:v>110.17482307653762</c:v>
                </c:pt>
                <c:pt idx="127" formatCode="#,##0.00">
                  <c:v>110.35453749762297</c:v>
                </c:pt>
                <c:pt idx="128" formatCode="#,##0.00">
                  <c:v>110.31397319487922</c:v>
                </c:pt>
                <c:pt idx="129" formatCode="#,##0.00">
                  <c:v>109.25187256937572</c:v>
                </c:pt>
                <c:pt idx="130" formatCode="#,##0.00">
                  <c:v>109.72064100796007</c:v>
                </c:pt>
                <c:pt idx="131" formatCode="#,##0.00">
                  <c:v>109.86565658421246</c:v>
                </c:pt>
                <c:pt idx="132" formatCode="#,##0.00">
                  <c:v>109.50974191914894</c:v>
                </c:pt>
                <c:pt idx="133" formatCode="#,##0.00">
                  <c:v>109.37722030014235</c:v>
                </c:pt>
                <c:pt idx="134" formatCode="#,##0.00">
                  <c:v>108.7593781285554</c:v>
                </c:pt>
                <c:pt idx="135" formatCode="#,##0.00">
                  <c:v>110.32599146827359</c:v>
                </c:pt>
                <c:pt idx="136" formatCode="#,##0.00">
                  <c:v>110.31174541742857</c:v>
                </c:pt>
                <c:pt idx="137" formatCode="#,##0.00">
                  <c:v>111.28131721897246</c:v>
                </c:pt>
                <c:pt idx="138" formatCode="#,##0.00">
                  <c:v>111.85516502346499</c:v>
                </c:pt>
                <c:pt idx="139" formatCode="#,##0.00">
                  <c:v>111.60785430370179</c:v>
                </c:pt>
                <c:pt idx="140" formatCode="#,##0.00">
                  <c:v>111.91328892058596</c:v>
                </c:pt>
                <c:pt idx="141" formatCode="#,##0.00">
                  <c:v>111.34753560005831</c:v>
                </c:pt>
                <c:pt idx="142" formatCode="#,##0.00">
                  <c:v>111.4304262220916</c:v>
                </c:pt>
                <c:pt idx="143" formatCode="#,##0.00">
                  <c:v>112.02041805631214</c:v>
                </c:pt>
                <c:pt idx="144" formatCode="#,##0.00">
                  <c:v>112.10483689447413</c:v>
                </c:pt>
                <c:pt idx="145" formatCode="#,##0.00">
                  <c:v>111.33088803517947</c:v>
                </c:pt>
                <c:pt idx="146" formatCode="#,##0.00">
                  <c:v>111.24692079707827</c:v>
                </c:pt>
                <c:pt idx="147" formatCode="#,##0.00">
                  <c:v>111.32153889913386</c:v>
                </c:pt>
                <c:pt idx="148" formatCode="#,##0.00">
                  <c:v>112.26016107941176</c:v>
                </c:pt>
                <c:pt idx="149" formatCode="#,##0.00">
                  <c:v>111.57444283468396</c:v>
                </c:pt>
                <c:pt idx="150" formatCode="#,##0.00">
                  <c:v>112.59853430385731</c:v>
                </c:pt>
                <c:pt idx="151" formatCode="#,##0.00">
                  <c:v>112.10285983579648</c:v>
                </c:pt>
                <c:pt idx="152" formatCode="#,##0.00">
                  <c:v>112.78610259047693</c:v>
                </c:pt>
                <c:pt idx="153" formatCode="#,##0.00">
                  <c:v>112.77290105311934</c:v>
                </c:pt>
                <c:pt idx="154" formatCode="#,##0.00">
                  <c:v>113.53018627397145</c:v>
                </c:pt>
                <c:pt idx="155" formatCode="#,##0.00">
                  <c:v>113.16399833514721</c:v>
                </c:pt>
                <c:pt idx="156" formatCode="#,##0.00">
                  <c:v>113.74163392232676</c:v>
                </c:pt>
                <c:pt idx="157" formatCode="#,##0.00">
                  <c:v>114.28604136346827</c:v>
                </c:pt>
                <c:pt idx="158" formatCode="#,##0.00">
                  <c:v>114.57988408068162</c:v>
                </c:pt>
                <c:pt idx="159" formatCode="#,##0.00">
                  <c:v>114.21968042503198</c:v>
                </c:pt>
                <c:pt idx="160" formatCode="#,##0.00">
                  <c:v>114.50747567030308</c:v>
                </c:pt>
                <c:pt idx="161" formatCode="#,##0.00">
                  <c:v>113.97652924053173</c:v>
                </c:pt>
                <c:pt idx="162" formatCode="#,##0.00">
                  <c:v>113.73096617392143</c:v>
                </c:pt>
                <c:pt idx="163" formatCode="#,##0.00">
                  <c:v>113.28576012857755</c:v>
                </c:pt>
                <c:pt idx="164" formatCode="#,##0.00">
                  <c:v>113.37459201102746</c:v>
                </c:pt>
                <c:pt idx="165" formatCode="#,##0.00">
                  <c:v>113.22308822655548</c:v>
                </c:pt>
                <c:pt idx="166" formatCode="#,##0.00">
                  <c:v>112.97803342207865</c:v>
                </c:pt>
                <c:pt idx="167" formatCode="#,##0.00">
                  <c:v>113.79851332252869</c:v>
                </c:pt>
                <c:pt idx="168" formatCode="#,##0.00">
                  <c:v>114.3498674967059</c:v>
                </c:pt>
                <c:pt idx="169" formatCode="#,##0.00">
                  <c:v>113.02875655775296</c:v>
                </c:pt>
                <c:pt idx="170" formatCode="#,##0.00">
                  <c:v>112.76751713778619</c:v>
                </c:pt>
                <c:pt idx="171" formatCode="#,##0.00">
                  <c:v>112.59057543124699</c:v>
                </c:pt>
                <c:pt idx="172" formatCode="#,##0.00">
                  <c:v>112.22339829602706</c:v>
                </c:pt>
                <c:pt idx="173" formatCode="#,##0.00">
                  <c:v>112.82882127959699</c:v>
                </c:pt>
                <c:pt idx="174" formatCode="#,##0.00">
                  <c:v>113.07971314720439</c:v>
                </c:pt>
                <c:pt idx="175" formatCode="#,##0.00">
                  <c:v>113.41133264211413</c:v>
                </c:pt>
                <c:pt idx="176" formatCode="#,##0.00">
                  <c:v>113.34126506262231</c:v>
                </c:pt>
                <c:pt idx="177" formatCode="#,##0.00">
                  <c:v>113.14359802144675</c:v>
                </c:pt>
                <c:pt idx="178" formatCode="#,##0.00">
                  <c:v>114.26567327851106</c:v>
                </c:pt>
                <c:pt idx="179" formatCode="#,##0.00">
                  <c:v>114.67894977333242</c:v>
                </c:pt>
                <c:pt idx="180" formatCode="#,##0.00">
                  <c:v>114.76216932656456</c:v>
                </c:pt>
                <c:pt idx="181" formatCode="#,##0.00">
                  <c:v>115.06713582411493</c:v>
                </c:pt>
                <c:pt idx="182" formatCode="#,##0.00">
                  <c:v>114.91952974156052</c:v>
                </c:pt>
                <c:pt idx="183" formatCode="#,##0.00">
                  <c:v>115.12025920880579</c:v>
                </c:pt>
                <c:pt idx="184" formatCode="#,##0.00">
                  <c:v>115.44594353350463</c:v>
                </c:pt>
                <c:pt idx="185" formatCode="#,##0.00">
                  <c:v>115.68191672284811</c:v>
                </c:pt>
                <c:pt idx="186" formatCode="#,##0.00">
                  <c:v>116.06095584162982</c:v>
                </c:pt>
                <c:pt idx="187" formatCode="#,##0.00">
                  <c:v>116.18142527158091</c:v>
                </c:pt>
                <c:pt idx="188" formatCode="#,##0.00">
                  <c:v>116.65178991601722</c:v>
                </c:pt>
                <c:pt idx="189" formatCode="#,##0.00">
                  <c:v>117.04251175320793</c:v>
                </c:pt>
                <c:pt idx="190" formatCode="#,##0.00">
                  <c:v>116.43870206578356</c:v>
                </c:pt>
                <c:pt idx="191" formatCode="#,##0.00">
                  <c:v>116.93129238326433</c:v>
                </c:pt>
                <c:pt idx="192" formatCode="#,##0.00">
                  <c:v>117.73466019814393</c:v>
                </c:pt>
                <c:pt idx="193" formatCode="#,##0.00">
                  <c:v>117.46241956165427</c:v>
                </c:pt>
                <c:pt idx="194" formatCode="#,##0.00">
                  <c:v>116.72101396282946</c:v>
                </c:pt>
                <c:pt idx="195" formatCode="#,##0.00">
                  <c:v>116.7658668082359</c:v>
                </c:pt>
                <c:pt idx="196" formatCode="#,##0.00">
                  <c:v>117.76114689988204</c:v>
                </c:pt>
                <c:pt idx="197" formatCode="#,##0.00">
                  <c:v>118.64148292699792</c:v>
                </c:pt>
                <c:pt idx="198" formatCode="#,##0.00">
                  <c:v>118.28611203386828</c:v>
                </c:pt>
                <c:pt idx="199" formatCode="#,##0.00">
                  <c:v>118.55104011020265</c:v>
                </c:pt>
                <c:pt idx="200" formatCode="#,##0.00">
                  <c:v>118.57936598318919</c:v>
                </c:pt>
                <c:pt idx="201" formatCode="#,##0.00">
                  <c:v>118.26493998165463</c:v>
                </c:pt>
                <c:pt idx="202" formatCode="#,##0.00">
                  <c:v>118.67744317462061</c:v>
                </c:pt>
                <c:pt idx="203" formatCode="#,##0.00">
                  <c:v>119.36647409006994</c:v>
                </c:pt>
                <c:pt idx="204" formatCode="#,##0.00">
                  <c:v>119.46905403419167</c:v>
                </c:pt>
                <c:pt idx="205" formatCode="#,##0.00">
                  <c:v>119.47945043953261</c:v>
                </c:pt>
                <c:pt idx="206" formatCode="#,##0.00">
                  <c:v>119.20417650542736</c:v>
                </c:pt>
                <c:pt idx="207" formatCode="#,##0.00">
                  <c:v>119.4731788328864</c:v>
                </c:pt>
                <c:pt idx="208" formatCode="#,##0.00">
                  <c:v>119.79466724653543</c:v>
                </c:pt>
                <c:pt idx="209" formatCode="#,##0.00">
                  <c:v>120.18859868403069</c:v>
                </c:pt>
                <c:pt idx="210" formatCode="#,##0.00">
                  <c:v>120.25046435018403</c:v>
                </c:pt>
                <c:pt idx="211" formatCode="#,##0.00">
                  <c:v>120.80439404652975</c:v>
                </c:pt>
                <c:pt idx="212" formatCode="#,##0.00">
                  <c:v>121.10884697934694</c:v>
                </c:pt>
                <c:pt idx="213" formatCode="#,##0.00">
                  <c:v>120.64767366117785</c:v>
                </c:pt>
                <c:pt idx="214" formatCode="#,##0.00">
                  <c:v>119.2518220485544</c:v>
                </c:pt>
                <c:pt idx="215" formatCode="#,##0.00">
                  <c:v>119.80900984822838</c:v>
                </c:pt>
                <c:pt idx="216" formatCode="#,##0.00">
                  <c:v>119.64290375665675</c:v>
                </c:pt>
                <c:pt idx="217" formatCode="#,##0.00">
                  <c:v>119.69158736155173</c:v>
                </c:pt>
                <c:pt idx="218" formatCode="#,##0.00">
                  <c:v>119.29672652229323</c:v>
                </c:pt>
                <c:pt idx="219" formatCode="#,##0.00">
                  <c:v>119.32797478409928</c:v>
                </c:pt>
                <c:pt idx="220" formatCode="#,##0.00">
                  <c:v>118.85292852617005</c:v>
                </c:pt>
                <c:pt idx="221" formatCode="#,##0.00">
                  <c:v>118.55533134194445</c:v>
                </c:pt>
                <c:pt idx="222" formatCode="#,##0.00">
                  <c:v>117.92591074932302</c:v>
                </c:pt>
                <c:pt idx="223" formatCode="#,##0.00">
                  <c:v>118.4439307567833</c:v>
                </c:pt>
                <c:pt idx="224" formatCode="#,##0.00">
                  <c:v>118.01518185594779</c:v>
                </c:pt>
                <c:pt idx="225" formatCode="#,##0.00">
                  <c:v>118.07800551763215</c:v>
                </c:pt>
                <c:pt idx="226" formatCode="#,##0.00">
                  <c:v>118.89945595795925</c:v>
                </c:pt>
                <c:pt idx="227" formatCode="#,##0.00">
                  <c:v>117.97890729557977</c:v>
                </c:pt>
                <c:pt idx="228" formatCode="#,##0.00">
                  <c:v>117.03004652672593</c:v>
                </c:pt>
                <c:pt idx="229" formatCode="#,##0.00">
                  <c:v>115.9494973078893</c:v>
                </c:pt>
                <c:pt idx="230" formatCode="#,##0.00">
                  <c:v>115.6600670216408</c:v>
                </c:pt>
                <c:pt idx="231" formatCode="#,##0.00">
                  <c:v>116.52127713238451</c:v>
                </c:pt>
                <c:pt idx="232" formatCode="#,##0.00">
                  <c:v>118.21483337355707</c:v>
                </c:pt>
                <c:pt idx="233" formatCode="#,##0.00">
                  <c:v>118.72489957358246</c:v>
                </c:pt>
                <c:pt idx="234" formatCode="#,##0.00">
                  <c:v>119.68474115966683</c:v>
                </c:pt>
                <c:pt idx="235" formatCode="#,##0.00">
                  <c:v>120.35111851857134</c:v>
                </c:pt>
                <c:pt idx="236" formatCode="#,##0.00">
                  <c:v>120.87414109305467</c:v>
                </c:pt>
                <c:pt idx="237" formatCode="#,##0.00">
                  <c:v>120.30579753380792</c:v>
                </c:pt>
                <c:pt idx="238" formatCode="#,##0.00">
                  <c:v>120.8823913494776</c:v>
                </c:pt>
                <c:pt idx="239" formatCode="#,##0.00">
                  <c:v>119.55888167241903</c:v>
                </c:pt>
                <c:pt idx="240" formatCode="#,##0.00">
                  <c:v>119.86467886144673</c:v>
                </c:pt>
                <c:pt idx="241" formatCode="#,##0.00">
                  <c:v>119.95283109216224</c:v>
                </c:pt>
                <c:pt idx="242" formatCode="#,##0.00">
                  <c:v>120.06618901806924</c:v>
                </c:pt>
                <c:pt idx="243" formatCode="#,##0.00">
                  <c:v>119.82080438547263</c:v>
                </c:pt>
                <c:pt idx="244" formatCode="#,##0.00">
                  <c:v>119.2897900237749</c:v>
                </c:pt>
                <c:pt idx="245" formatCode="#,##0.00">
                  <c:v>119.01797923835645</c:v>
                </c:pt>
                <c:pt idx="246" formatCode="#,##0.00">
                  <c:v>118.60284865092338</c:v>
                </c:pt>
                <c:pt idx="247" formatCode="#,##0.00">
                  <c:v>119.31317853123342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8-497C-B51F-E8F714F57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3206575"/>
        <c:axId val="1473203695"/>
      </c:lineChart>
      <c:catAx>
        <c:axId val="147320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203695"/>
        <c:crosses val="autoZero"/>
        <c:auto val="1"/>
        <c:lblAlgn val="ctr"/>
        <c:lblOffset val="100"/>
        <c:noMultiLvlLbl val="0"/>
      </c:catAx>
      <c:valAx>
        <c:axId val="14732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20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100 Rs invested</a:t>
            </a:r>
            <a:r>
              <a:rPr lang="en-IN" baseline="0"/>
              <a:t> in Green Protfolio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'Green Stocks'!$U$3:$U$251</c:f>
              <c:strCache>
                <c:ptCount val="249"/>
                <c:pt idx="0">
                  <c:v>Date  </c:v>
                </c:pt>
                <c:pt idx="1">
                  <c:v>27-Feb-25</c:v>
                </c:pt>
                <c:pt idx="2">
                  <c:v>28-Feb-25</c:v>
                </c:pt>
                <c:pt idx="3">
                  <c:v>03-Mar-25</c:v>
                </c:pt>
                <c:pt idx="4">
                  <c:v>04-Mar-25</c:v>
                </c:pt>
                <c:pt idx="5">
                  <c:v>05-Mar-25</c:v>
                </c:pt>
                <c:pt idx="6">
                  <c:v>06-Mar-25</c:v>
                </c:pt>
                <c:pt idx="7">
                  <c:v>07-Mar-25</c:v>
                </c:pt>
                <c:pt idx="8">
                  <c:v>10-Mar-25</c:v>
                </c:pt>
                <c:pt idx="9">
                  <c:v>11-Mar-25</c:v>
                </c:pt>
                <c:pt idx="10">
                  <c:v>12-Mar-25</c:v>
                </c:pt>
                <c:pt idx="11">
                  <c:v>13-Mar-25</c:v>
                </c:pt>
                <c:pt idx="12">
                  <c:v>17-Mar-25</c:v>
                </c:pt>
                <c:pt idx="13">
                  <c:v>18-Mar-25</c:v>
                </c:pt>
                <c:pt idx="14">
                  <c:v>19-Mar-25</c:v>
                </c:pt>
                <c:pt idx="15">
                  <c:v>20-Mar-25</c:v>
                </c:pt>
                <c:pt idx="16">
                  <c:v>21-Mar-25</c:v>
                </c:pt>
                <c:pt idx="17">
                  <c:v>24-Mar-25</c:v>
                </c:pt>
                <c:pt idx="18">
                  <c:v>25-Mar-25</c:v>
                </c:pt>
                <c:pt idx="19">
                  <c:v>26-Mar-25</c:v>
                </c:pt>
                <c:pt idx="20">
                  <c:v>27-Mar-25</c:v>
                </c:pt>
                <c:pt idx="21">
                  <c:v>28-Mar-25</c:v>
                </c:pt>
                <c:pt idx="22">
                  <c:v>01-Apr-25</c:v>
                </c:pt>
                <c:pt idx="23">
                  <c:v>02-Apr-25</c:v>
                </c:pt>
                <c:pt idx="24">
                  <c:v>03-Apr-25</c:v>
                </c:pt>
                <c:pt idx="25">
                  <c:v>04-Apr-25</c:v>
                </c:pt>
                <c:pt idx="26">
                  <c:v>07-Apr-25</c:v>
                </c:pt>
                <c:pt idx="27">
                  <c:v>08-Apr-25</c:v>
                </c:pt>
                <c:pt idx="28">
                  <c:v>09-Apr-25</c:v>
                </c:pt>
                <c:pt idx="29">
                  <c:v>11-Apr-25</c:v>
                </c:pt>
                <c:pt idx="30">
                  <c:v>15-Apr-25</c:v>
                </c:pt>
                <c:pt idx="31">
                  <c:v>16-Apr-25</c:v>
                </c:pt>
                <c:pt idx="32">
                  <c:v>17-Apr-25</c:v>
                </c:pt>
                <c:pt idx="33">
                  <c:v>21-Apr-25</c:v>
                </c:pt>
                <c:pt idx="34">
                  <c:v>22-Apr-25</c:v>
                </c:pt>
                <c:pt idx="35">
                  <c:v>23-Apr-25</c:v>
                </c:pt>
                <c:pt idx="36">
                  <c:v>24-Apr-25</c:v>
                </c:pt>
                <c:pt idx="37">
                  <c:v>25-Apr-25</c:v>
                </c:pt>
                <c:pt idx="38">
                  <c:v>28-Apr-25</c:v>
                </c:pt>
                <c:pt idx="39">
                  <c:v>29-Apr-25</c:v>
                </c:pt>
                <c:pt idx="40">
                  <c:v>30-Apr-25</c:v>
                </c:pt>
                <c:pt idx="41">
                  <c:v>02-May-25</c:v>
                </c:pt>
                <c:pt idx="42">
                  <c:v>05-May-25</c:v>
                </c:pt>
                <c:pt idx="43">
                  <c:v>06-May-25</c:v>
                </c:pt>
                <c:pt idx="44">
                  <c:v>07-May-25</c:v>
                </c:pt>
                <c:pt idx="45">
                  <c:v>08-May-25</c:v>
                </c:pt>
                <c:pt idx="46">
                  <c:v>09-May-25</c:v>
                </c:pt>
                <c:pt idx="47">
                  <c:v>12-May-25</c:v>
                </c:pt>
                <c:pt idx="48">
                  <c:v>13-May-25</c:v>
                </c:pt>
                <c:pt idx="49">
                  <c:v>14-May-25</c:v>
                </c:pt>
                <c:pt idx="50">
                  <c:v>15-May-25</c:v>
                </c:pt>
                <c:pt idx="51">
                  <c:v>16-May-25</c:v>
                </c:pt>
                <c:pt idx="52">
                  <c:v>19-May-25</c:v>
                </c:pt>
                <c:pt idx="53">
                  <c:v>20-May-25</c:v>
                </c:pt>
                <c:pt idx="54">
                  <c:v>21-May-25</c:v>
                </c:pt>
                <c:pt idx="55">
                  <c:v>22-May-25</c:v>
                </c:pt>
                <c:pt idx="56">
                  <c:v>23-May-25</c:v>
                </c:pt>
                <c:pt idx="57">
                  <c:v>26-May-25</c:v>
                </c:pt>
                <c:pt idx="58">
                  <c:v>27-May-25</c:v>
                </c:pt>
                <c:pt idx="59">
                  <c:v>28-May-25</c:v>
                </c:pt>
                <c:pt idx="60">
                  <c:v>29-May-25</c:v>
                </c:pt>
                <c:pt idx="61">
                  <c:v>30-May-25</c:v>
                </c:pt>
                <c:pt idx="62">
                  <c:v>02-Jun-25</c:v>
                </c:pt>
                <c:pt idx="63">
                  <c:v>03-Jun-25</c:v>
                </c:pt>
                <c:pt idx="64">
                  <c:v>04-Jun-25</c:v>
                </c:pt>
                <c:pt idx="65">
                  <c:v>05-Jun-25</c:v>
                </c:pt>
                <c:pt idx="66">
                  <c:v>06-Jun-25</c:v>
                </c:pt>
                <c:pt idx="67">
                  <c:v>09-Jun-25</c:v>
                </c:pt>
                <c:pt idx="68">
                  <c:v>10-Jun-25</c:v>
                </c:pt>
                <c:pt idx="69">
                  <c:v>11-Jun-25</c:v>
                </c:pt>
                <c:pt idx="70">
                  <c:v>12-Jun-25</c:v>
                </c:pt>
                <c:pt idx="71">
                  <c:v>13-Jun-25</c:v>
                </c:pt>
                <c:pt idx="72">
                  <c:v>16-Jun-25</c:v>
                </c:pt>
                <c:pt idx="73">
                  <c:v>17-Jun-25</c:v>
                </c:pt>
                <c:pt idx="74">
                  <c:v>18-Jun-25</c:v>
                </c:pt>
                <c:pt idx="75">
                  <c:v>19-Jun-25</c:v>
                </c:pt>
                <c:pt idx="76">
                  <c:v>20-Jun-25</c:v>
                </c:pt>
                <c:pt idx="77">
                  <c:v>23-Jun-25</c:v>
                </c:pt>
                <c:pt idx="78">
                  <c:v>24-Jun-25</c:v>
                </c:pt>
                <c:pt idx="79">
                  <c:v>25-Jun-25</c:v>
                </c:pt>
                <c:pt idx="80">
                  <c:v>26-Jun-25</c:v>
                </c:pt>
                <c:pt idx="81">
                  <c:v>27-Jun-25</c:v>
                </c:pt>
                <c:pt idx="82">
                  <c:v>30-Jun-25</c:v>
                </c:pt>
                <c:pt idx="83">
                  <c:v>01-Jul-25</c:v>
                </c:pt>
                <c:pt idx="84">
                  <c:v>02-Jul-25</c:v>
                </c:pt>
                <c:pt idx="85">
                  <c:v>03-Jul-25</c:v>
                </c:pt>
                <c:pt idx="86">
                  <c:v>04-Jul-25</c:v>
                </c:pt>
                <c:pt idx="87">
                  <c:v>07-Jul-25</c:v>
                </c:pt>
                <c:pt idx="88">
                  <c:v>08-Jul-25</c:v>
                </c:pt>
                <c:pt idx="89">
                  <c:v>09-Jul-25</c:v>
                </c:pt>
                <c:pt idx="90">
                  <c:v>10-Jul-25</c:v>
                </c:pt>
                <c:pt idx="91">
                  <c:v>11-Jul-25</c:v>
                </c:pt>
                <c:pt idx="92">
                  <c:v>14-Jul-25</c:v>
                </c:pt>
                <c:pt idx="93">
                  <c:v>15-Jul-25</c:v>
                </c:pt>
                <c:pt idx="94">
                  <c:v>16-Jul-25</c:v>
                </c:pt>
                <c:pt idx="95">
                  <c:v>17-Jul-25</c:v>
                </c:pt>
                <c:pt idx="96">
                  <c:v>18-Jul-25</c:v>
                </c:pt>
                <c:pt idx="97">
                  <c:v>21-Jul-25</c:v>
                </c:pt>
                <c:pt idx="98">
                  <c:v>22-Jul-25</c:v>
                </c:pt>
                <c:pt idx="99">
                  <c:v>23-Jul-25</c:v>
                </c:pt>
                <c:pt idx="100">
                  <c:v>24-Jul-25</c:v>
                </c:pt>
                <c:pt idx="101">
                  <c:v>25-Jul-25</c:v>
                </c:pt>
                <c:pt idx="102">
                  <c:v>28-Jul-25</c:v>
                </c:pt>
                <c:pt idx="103">
                  <c:v>29-Jul-25</c:v>
                </c:pt>
                <c:pt idx="104">
                  <c:v>30-Jul-25</c:v>
                </c:pt>
                <c:pt idx="105">
                  <c:v>31-Jul-25</c:v>
                </c:pt>
                <c:pt idx="106">
                  <c:v>01-Aug-25</c:v>
                </c:pt>
                <c:pt idx="107">
                  <c:v>04-Aug-25</c:v>
                </c:pt>
                <c:pt idx="108">
                  <c:v>05-Aug-25</c:v>
                </c:pt>
                <c:pt idx="109">
                  <c:v>06-Aug-25</c:v>
                </c:pt>
                <c:pt idx="110">
                  <c:v>07-Aug-25</c:v>
                </c:pt>
                <c:pt idx="111">
                  <c:v>08-Aug-25</c:v>
                </c:pt>
                <c:pt idx="112">
                  <c:v>11-Aug-25</c:v>
                </c:pt>
                <c:pt idx="113">
                  <c:v>12-Aug-25</c:v>
                </c:pt>
                <c:pt idx="114">
                  <c:v>13-Aug-25</c:v>
                </c:pt>
                <c:pt idx="115">
                  <c:v>14-Aug-25</c:v>
                </c:pt>
                <c:pt idx="116">
                  <c:v>18-Aug-25</c:v>
                </c:pt>
                <c:pt idx="117">
                  <c:v>19-Aug-25</c:v>
                </c:pt>
                <c:pt idx="118">
                  <c:v>20-Aug-25</c:v>
                </c:pt>
                <c:pt idx="119">
                  <c:v>21-Aug-25</c:v>
                </c:pt>
                <c:pt idx="120">
                  <c:v>22-Aug-25</c:v>
                </c:pt>
                <c:pt idx="121">
                  <c:v>25-Aug-25</c:v>
                </c:pt>
                <c:pt idx="122">
                  <c:v>26-Aug-25</c:v>
                </c:pt>
                <c:pt idx="123">
                  <c:v>28-Aug-25</c:v>
                </c:pt>
                <c:pt idx="124">
                  <c:v>29-Aug-25</c:v>
                </c:pt>
                <c:pt idx="125">
                  <c:v>01-Sep-25</c:v>
                </c:pt>
                <c:pt idx="126">
                  <c:v>02-Sep-25</c:v>
                </c:pt>
                <c:pt idx="127">
                  <c:v>03-Sep-25</c:v>
                </c:pt>
                <c:pt idx="128">
                  <c:v>04-Sep-25</c:v>
                </c:pt>
                <c:pt idx="129">
                  <c:v>05-Sep-25</c:v>
                </c:pt>
                <c:pt idx="130">
                  <c:v>08-Sep-25</c:v>
                </c:pt>
                <c:pt idx="131">
                  <c:v>09-Sep-25</c:v>
                </c:pt>
                <c:pt idx="132">
                  <c:v>10-Sep-25</c:v>
                </c:pt>
                <c:pt idx="133">
                  <c:v>11-Sep-25</c:v>
                </c:pt>
                <c:pt idx="134">
                  <c:v>12-Sep-25</c:v>
                </c:pt>
                <c:pt idx="135">
                  <c:v>15-Sep-25</c:v>
                </c:pt>
                <c:pt idx="136">
                  <c:v>16-Sep-25</c:v>
                </c:pt>
                <c:pt idx="137">
                  <c:v>17-Sep-25</c:v>
                </c:pt>
                <c:pt idx="138">
                  <c:v>18-Sep-25</c:v>
                </c:pt>
                <c:pt idx="139">
                  <c:v>19-Sep-25</c:v>
                </c:pt>
                <c:pt idx="140">
                  <c:v>22-Sep-25</c:v>
                </c:pt>
                <c:pt idx="141">
                  <c:v>23-Sep-25</c:v>
                </c:pt>
                <c:pt idx="142">
                  <c:v>24-Sep-25</c:v>
                </c:pt>
                <c:pt idx="143">
                  <c:v>25-Sep-25</c:v>
                </c:pt>
                <c:pt idx="144">
                  <c:v>26-Sep-25</c:v>
                </c:pt>
                <c:pt idx="145">
                  <c:v>29-Sep-25</c:v>
                </c:pt>
                <c:pt idx="146">
                  <c:v>30-Sep-25</c:v>
                </c:pt>
                <c:pt idx="147">
                  <c:v>01-Oct-25</c:v>
                </c:pt>
                <c:pt idx="148">
                  <c:v>03-Oct-25</c:v>
                </c:pt>
                <c:pt idx="149">
                  <c:v>06-Oct-25</c:v>
                </c:pt>
                <c:pt idx="150">
                  <c:v>07-Oct-25</c:v>
                </c:pt>
                <c:pt idx="151">
                  <c:v>08-Oct-25</c:v>
                </c:pt>
                <c:pt idx="152">
                  <c:v>09-Oct-25</c:v>
                </c:pt>
                <c:pt idx="153">
                  <c:v>10-Oct-25</c:v>
                </c:pt>
                <c:pt idx="154">
                  <c:v>13-Oct-25</c:v>
                </c:pt>
                <c:pt idx="155">
                  <c:v>14-Oct-25</c:v>
                </c:pt>
                <c:pt idx="156">
                  <c:v>15-Oct-25</c:v>
                </c:pt>
                <c:pt idx="157">
                  <c:v>16-Oct-25</c:v>
                </c:pt>
                <c:pt idx="158">
                  <c:v>17-Oct-25</c:v>
                </c:pt>
                <c:pt idx="159">
                  <c:v>20-Oct-25</c:v>
                </c:pt>
                <c:pt idx="160">
                  <c:v>21-Oct-25</c:v>
                </c:pt>
                <c:pt idx="161">
                  <c:v>23-Oct-25</c:v>
                </c:pt>
                <c:pt idx="162">
                  <c:v>24-Oct-25</c:v>
                </c:pt>
                <c:pt idx="163">
                  <c:v>27-Oct-25</c:v>
                </c:pt>
                <c:pt idx="164">
                  <c:v>28-Oct-25</c:v>
                </c:pt>
                <c:pt idx="165">
                  <c:v>29-Oct-25</c:v>
                </c:pt>
                <c:pt idx="166">
                  <c:v>30-Oct-25</c:v>
                </c:pt>
                <c:pt idx="167">
                  <c:v>31-Oct-25</c:v>
                </c:pt>
                <c:pt idx="168">
                  <c:v>03-Nov-25</c:v>
                </c:pt>
                <c:pt idx="169">
                  <c:v>04-Nov-25</c:v>
                </c:pt>
                <c:pt idx="170">
                  <c:v>06-Nov-25</c:v>
                </c:pt>
                <c:pt idx="171">
                  <c:v>07-Nov-25</c:v>
                </c:pt>
                <c:pt idx="172">
                  <c:v>10-Nov-25</c:v>
                </c:pt>
                <c:pt idx="173">
                  <c:v>11-Nov-25</c:v>
                </c:pt>
                <c:pt idx="174">
                  <c:v>12-Nov-25</c:v>
                </c:pt>
                <c:pt idx="175">
                  <c:v>13-Nov-25</c:v>
                </c:pt>
                <c:pt idx="176">
                  <c:v>14-Nov-25</c:v>
                </c:pt>
                <c:pt idx="177">
                  <c:v>17-Nov-25</c:v>
                </c:pt>
                <c:pt idx="178">
                  <c:v>18-Nov-25</c:v>
                </c:pt>
                <c:pt idx="179">
                  <c:v>19-Nov-25</c:v>
                </c:pt>
                <c:pt idx="180">
                  <c:v>20-Nov-25</c:v>
                </c:pt>
                <c:pt idx="181">
                  <c:v>21-Nov-25</c:v>
                </c:pt>
                <c:pt idx="182">
                  <c:v>24-Nov-25</c:v>
                </c:pt>
                <c:pt idx="183">
                  <c:v>25-Nov-25</c:v>
                </c:pt>
                <c:pt idx="184">
                  <c:v>26-Nov-25</c:v>
                </c:pt>
                <c:pt idx="185">
                  <c:v>27-Nov-25</c:v>
                </c:pt>
                <c:pt idx="186">
                  <c:v>28-Nov-25</c:v>
                </c:pt>
                <c:pt idx="187">
                  <c:v>01-Dec-25</c:v>
                </c:pt>
                <c:pt idx="188">
                  <c:v>02-Dec-25</c:v>
                </c:pt>
                <c:pt idx="189">
                  <c:v>03-Dec-25</c:v>
                </c:pt>
                <c:pt idx="190">
                  <c:v>04-Dec-25</c:v>
                </c:pt>
                <c:pt idx="191">
                  <c:v>05-Dec-25</c:v>
                </c:pt>
                <c:pt idx="192">
                  <c:v>08-Dec-25</c:v>
                </c:pt>
                <c:pt idx="193">
                  <c:v>09-Dec-25</c:v>
                </c:pt>
                <c:pt idx="194">
                  <c:v>10-Dec-25</c:v>
                </c:pt>
                <c:pt idx="195">
                  <c:v>11-Dec-25</c:v>
                </c:pt>
                <c:pt idx="196">
                  <c:v>12-Dec-25</c:v>
                </c:pt>
                <c:pt idx="197">
                  <c:v>15-Dec-25</c:v>
                </c:pt>
                <c:pt idx="198">
                  <c:v>16-Dec-25</c:v>
                </c:pt>
                <c:pt idx="199">
                  <c:v>17-Dec-25</c:v>
                </c:pt>
                <c:pt idx="200">
                  <c:v>18-Dec-25</c:v>
                </c:pt>
                <c:pt idx="201">
                  <c:v>19-Dec-25</c:v>
                </c:pt>
                <c:pt idx="202">
                  <c:v>22-Dec-25</c:v>
                </c:pt>
                <c:pt idx="203">
                  <c:v>23-Dec-25</c:v>
                </c:pt>
                <c:pt idx="204">
                  <c:v>24-Dec-25</c:v>
                </c:pt>
                <c:pt idx="205">
                  <c:v>26-Dec-25</c:v>
                </c:pt>
                <c:pt idx="206">
                  <c:v>29-Dec-25</c:v>
                </c:pt>
                <c:pt idx="207">
                  <c:v>30-Dec-25</c:v>
                </c:pt>
                <c:pt idx="208">
                  <c:v>31-Dec-25</c:v>
                </c:pt>
                <c:pt idx="209">
                  <c:v>01-Jan-26</c:v>
                </c:pt>
                <c:pt idx="210">
                  <c:v>02-Jan-26</c:v>
                </c:pt>
                <c:pt idx="211">
                  <c:v>05-Jan-26</c:v>
                </c:pt>
                <c:pt idx="212">
                  <c:v>06-Jan-26</c:v>
                </c:pt>
                <c:pt idx="213">
                  <c:v>07-Jan-26</c:v>
                </c:pt>
                <c:pt idx="214">
                  <c:v>08-Jan-26</c:v>
                </c:pt>
                <c:pt idx="215">
                  <c:v>09-Jan-26</c:v>
                </c:pt>
                <c:pt idx="216">
                  <c:v>12-Jan-26</c:v>
                </c:pt>
                <c:pt idx="217">
                  <c:v>13-Jan-26</c:v>
                </c:pt>
                <c:pt idx="218">
                  <c:v>14-Jan-26</c:v>
                </c:pt>
                <c:pt idx="219">
                  <c:v>16-Jan-26</c:v>
                </c:pt>
                <c:pt idx="220">
                  <c:v>19-Jan-26</c:v>
                </c:pt>
                <c:pt idx="221">
                  <c:v>20-Jan-26</c:v>
                </c:pt>
                <c:pt idx="222">
                  <c:v>21-Jan-26</c:v>
                </c:pt>
                <c:pt idx="223">
                  <c:v>22-Jan-26</c:v>
                </c:pt>
                <c:pt idx="224">
                  <c:v>23-Jan-26</c:v>
                </c:pt>
                <c:pt idx="225">
                  <c:v>27-Jan-26</c:v>
                </c:pt>
                <c:pt idx="226">
                  <c:v>28-Jan-26</c:v>
                </c:pt>
                <c:pt idx="227">
                  <c:v>29-Jan-26</c:v>
                </c:pt>
                <c:pt idx="228">
                  <c:v>30-Jan-26</c:v>
                </c:pt>
                <c:pt idx="229">
                  <c:v>01-Feb-26</c:v>
                </c:pt>
                <c:pt idx="230">
                  <c:v>02-Feb-26</c:v>
                </c:pt>
                <c:pt idx="231">
                  <c:v>03-Feb-26</c:v>
                </c:pt>
                <c:pt idx="232">
                  <c:v>04-Feb-26</c:v>
                </c:pt>
                <c:pt idx="233">
                  <c:v>05-Feb-26</c:v>
                </c:pt>
                <c:pt idx="234">
                  <c:v>06-Feb-26</c:v>
                </c:pt>
                <c:pt idx="235">
                  <c:v>09-Feb-26</c:v>
                </c:pt>
                <c:pt idx="236">
                  <c:v>10-Feb-26</c:v>
                </c:pt>
                <c:pt idx="237">
                  <c:v>11-Feb-26</c:v>
                </c:pt>
                <c:pt idx="238">
                  <c:v>12-Feb-26</c:v>
                </c:pt>
                <c:pt idx="239">
                  <c:v>13-Feb-26</c:v>
                </c:pt>
                <c:pt idx="240">
                  <c:v>16-Feb-26</c:v>
                </c:pt>
                <c:pt idx="241">
                  <c:v>17-Feb-26</c:v>
                </c:pt>
                <c:pt idx="242">
                  <c:v>18-Feb-26</c:v>
                </c:pt>
                <c:pt idx="243">
                  <c:v>19-Feb-26</c:v>
                </c:pt>
                <c:pt idx="244">
                  <c:v>20-Feb-26</c:v>
                </c:pt>
                <c:pt idx="245">
                  <c:v>23-Feb-26</c:v>
                </c:pt>
                <c:pt idx="246">
                  <c:v>24-Feb-26</c:v>
                </c:pt>
                <c:pt idx="247">
                  <c:v>25-Feb-26</c:v>
                </c:pt>
                <c:pt idx="248">
                  <c:v>26-Feb-26</c:v>
                </c:pt>
              </c:strCache>
            </c:strRef>
          </c:cat>
          <c:val>
            <c:numRef>
              <c:f>'Green Stocks'!$Z$3:$Z$251</c:f>
              <c:numCache>
                <c:formatCode>General</c:formatCode>
                <c:ptCount val="249"/>
                <c:pt idx="0">
                  <c:v>100</c:v>
                </c:pt>
                <c:pt idx="1">
                  <c:v>100</c:v>
                </c:pt>
                <c:pt idx="2">
                  <c:v>96.731999944677128</c:v>
                </c:pt>
                <c:pt idx="3">
                  <c:v>98.109851925646964</c:v>
                </c:pt>
                <c:pt idx="4">
                  <c:v>97.760227125548056</c:v>
                </c:pt>
                <c:pt idx="5">
                  <c:v>102.20082979827595</c:v>
                </c:pt>
                <c:pt idx="6">
                  <c:v>103.09909448554643</c:v>
                </c:pt>
                <c:pt idx="7">
                  <c:v>104.27366575030433</c:v>
                </c:pt>
                <c:pt idx="8">
                  <c:v>103.35193666971215</c:v>
                </c:pt>
                <c:pt idx="9">
                  <c:v>103.89013730225439</c:v>
                </c:pt>
                <c:pt idx="10">
                  <c:v>105.32741096278434</c:v>
                </c:pt>
                <c:pt idx="11">
                  <c:v>105.29644060618973</c:v>
                </c:pt>
                <c:pt idx="12">
                  <c:v>105.68746837202481</c:v>
                </c:pt>
                <c:pt idx="13">
                  <c:v>107.97368422239413</c:v>
                </c:pt>
                <c:pt idx="14">
                  <c:v>111.45953324145464</c:v>
                </c:pt>
                <c:pt idx="15">
                  <c:v>111.53719013161262</c:v>
                </c:pt>
                <c:pt idx="16">
                  <c:v>112.79053041747179</c:v>
                </c:pt>
                <c:pt idx="17">
                  <c:v>114.42836051329029</c:v>
                </c:pt>
                <c:pt idx="18">
                  <c:v>111.77532178503401</c:v>
                </c:pt>
                <c:pt idx="19">
                  <c:v>111.2327054617169</c:v>
                </c:pt>
                <c:pt idx="20">
                  <c:v>113.21941183638118</c:v>
                </c:pt>
                <c:pt idx="21">
                  <c:v>111.3292143701817</c:v>
                </c:pt>
                <c:pt idx="22">
                  <c:v>109.51588762703949</c:v>
                </c:pt>
                <c:pt idx="23">
                  <c:v>110.89059222746009</c:v>
                </c:pt>
                <c:pt idx="24">
                  <c:v>112.12812603549025</c:v>
                </c:pt>
                <c:pt idx="25">
                  <c:v>107.90839479020526</c:v>
                </c:pt>
                <c:pt idx="26">
                  <c:v>103.48625208281464</c:v>
                </c:pt>
                <c:pt idx="27">
                  <c:v>104.72747499387012</c:v>
                </c:pt>
                <c:pt idx="28">
                  <c:v>102.98259535075718</c:v>
                </c:pt>
                <c:pt idx="29">
                  <c:v>105.39273255049677</c:v>
                </c:pt>
                <c:pt idx="30">
                  <c:v>109.21851413231124</c:v>
                </c:pt>
                <c:pt idx="31">
                  <c:v>111.13118717405702</c:v>
                </c:pt>
                <c:pt idx="32">
                  <c:v>112.02571781210425</c:v>
                </c:pt>
                <c:pt idx="33">
                  <c:v>115.2309608731441</c:v>
                </c:pt>
                <c:pt idx="34">
                  <c:v>114.12594759911008</c:v>
                </c:pt>
                <c:pt idx="35">
                  <c:v>114.88022622394277</c:v>
                </c:pt>
                <c:pt idx="36">
                  <c:v>115.23209607972763</c:v>
                </c:pt>
                <c:pt idx="37">
                  <c:v>111.12848611807205</c:v>
                </c:pt>
                <c:pt idx="38">
                  <c:v>111.84192722073919</c:v>
                </c:pt>
                <c:pt idx="39">
                  <c:v>111.08974597510262</c:v>
                </c:pt>
                <c:pt idx="40">
                  <c:v>109.09652391708258</c:v>
                </c:pt>
                <c:pt idx="41">
                  <c:v>108.79146267612296</c:v>
                </c:pt>
                <c:pt idx="42">
                  <c:v>111.23322662918228</c:v>
                </c:pt>
                <c:pt idx="43">
                  <c:v>106.73308597533813</c:v>
                </c:pt>
                <c:pt idx="44">
                  <c:v>107.59752189752497</c:v>
                </c:pt>
                <c:pt idx="45">
                  <c:v>105.17942642542107</c:v>
                </c:pt>
                <c:pt idx="46">
                  <c:v>104.77975926997145</c:v>
                </c:pt>
                <c:pt idx="47">
                  <c:v>111.02691051664254</c:v>
                </c:pt>
                <c:pt idx="48">
                  <c:v>111.35812479916855</c:v>
                </c:pt>
                <c:pt idx="49">
                  <c:v>113.09557758908917</c:v>
                </c:pt>
                <c:pt idx="50">
                  <c:v>114.10270950484892</c:v>
                </c:pt>
                <c:pt idx="51">
                  <c:v>116.83902241371717</c:v>
                </c:pt>
                <c:pt idx="52">
                  <c:v>117.46731979811344</c:v>
                </c:pt>
                <c:pt idx="53">
                  <c:v>114.92375275320374</c:v>
                </c:pt>
                <c:pt idx="54">
                  <c:v>116.49808293529524</c:v>
                </c:pt>
                <c:pt idx="55">
                  <c:v>116.9685648321144</c:v>
                </c:pt>
                <c:pt idx="56">
                  <c:v>117.63898530269597</c:v>
                </c:pt>
                <c:pt idx="57">
                  <c:v>119.64239458637385</c:v>
                </c:pt>
                <c:pt idx="58">
                  <c:v>119.98223437909563</c:v>
                </c:pt>
                <c:pt idx="59">
                  <c:v>120.44522124110405</c:v>
                </c:pt>
                <c:pt idx="60">
                  <c:v>119.75182591404035</c:v>
                </c:pt>
                <c:pt idx="61">
                  <c:v>120.98735211525519</c:v>
                </c:pt>
                <c:pt idx="62">
                  <c:v>120.92511959980126</c:v>
                </c:pt>
                <c:pt idx="63">
                  <c:v>118.55803245759429</c:v>
                </c:pt>
                <c:pt idx="64">
                  <c:v>118.78584935649658</c:v>
                </c:pt>
                <c:pt idx="65">
                  <c:v>119.01861831413076</c:v>
                </c:pt>
                <c:pt idx="66">
                  <c:v>120.13923346970938</c:v>
                </c:pt>
                <c:pt idx="67">
                  <c:v>121.97976548789131</c:v>
                </c:pt>
                <c:pt idx="68">
                  <c:v>123.42524307123252</c:v>
                </c:pt>
                <c:pt idx="69">
                  <c:v>123.45628223463565</c:v>
                </c:pt>
                <c:pt idx="70">
                  <c:v>120.38405369313759</c:v>
                </c:pt>
                <c:pt idx="71">
                  <c:v>118.13706035472295</c:v>
                </c:pt>
                <c:pt idx="72">
                  <c:v>118.37162310069611</c:v>
                </c:pt>
                <c:pt idx="73">
                  <c:v>117.53106249764252</c:v>
                </c:pt>
                <c:pt idx="74">
                  <c:v>116.68539125662885</c:v>
                </c:pt>
                <c:pt idx="75">
                  <c:v>113.75446710188048</c:v>
                </c:pt>
                <c:pt idx="76">
                  <c:v>115.89150059023991</c:v>
                </c:pt>
                <c:pt idx="77">
                  <c:v>116.23818514533914</c:v>
                </c:pt>
                <c:pt idx="78">
                  <c:v>116.92884091809897</c:v>
                </c:pt>
                <c:pt idx="79">
                  <c:v>117.86317512196808</c:v>
                </c:pt>
                <c:pt idx="80">
                  <c:v>118.42654242649675</c:v>
                </c:pt>
                <c:pt idx="81">
                  <c:v>119.22317199017738</c:v>
                </c:pt>
                <c:pt idx="82">
                  <c:v>119.9935718182021</c:v>
                </c:pt>
                <c:pt idx="83">
                  <c:v>120.86349009674746</c:v>
                </c:pt>
                <c:pt idx="84">
                  <c:v>119.96822652654583</c:v>
                </c:pt>
                <c:pt idx="85">
                  <c:v>118.24887789146987</c:v>
                </c:pt>
                <c:pt idx="86">
                  <c:v>118.35925019800183</c:v>
                </c:pt>
                <c:pt idx="87">
                  <c:v>118.37791840584454</c:v>
                </c:pt>
                <c:pt idx="88">
                  <c:v>118.6515423749766</c:v>
                </c:pt>
                <c:pt idx="89">
                  <c:v>118.98045324095492</c:v>
                </c:pt>
                <c:pt idx="90">
                  <c:v>119.49059877138879</c:v>
                </c:pt>
                <c:pt idx="91">
                  <c:v>119.98184410673215</c:v>
                </c:pt>
                <c:pt idx="92">
                  <c:v>120.73065651348099</c:v>
                </c:pt>
                <c:pt idx="93">
                  <c:v>120.76194337412596</c:v>
                </c:pt>
                <c:pt idx="94">
                  <c:v>122.92437455201969</c:v>
                </c:pt>
                <c:pt idx="95">
                  <c:v>123.01429789440562</c:v>
                </c:pt>
                <c:pt idx="96">
                  <c:v>121.51352153523651</c:v>
                </c:pt>
                <c:pt idx="97">
                  <c:v>120.47838933099349</c:v>
                </c:pt>
                <c:pt idx="98">
                  <c:v>120.07747512489061</c:v>
                </c:pt>
                <c:pt idx="99">
                  <c:v>120.77771612037454</c:v>
                </c:pt>
                <c:pt idx="100">
                  <c:v>119.84000293953021</c:v>
                </c:pt>
                <c:pt idx="101">
                  <c:v>117.51783614613784</c:v>
                </c:pt>
                <c:pt idx="102">
                  <c:v>118.12673194530078</c:v>
                </c:pt>
                <c:pt idx="103">
                  <c:v>117.13874708913647</c:v>
                </c:pt>
                <c:pt idx="104">
                  <c:v>117.55696848154868</c:v>
                </c:pt>
                <c:pt idx="105">
                  <c:v>115.77806805240782</c:v>
                </c:pt>
                <c:pt idx="106">
                  <c:v>114.99954372991441</c:v>
                </c:pt>
                <c:pt idx="107">
                  <c:v>117.87586650600831</c:v>
                </c:pt>
                <c:pt idx="108">
                  <c:v>116.98998779790585</c:v>
                </c:pt>
                <c:pt idx="109">
                  <c:v>116.58820962154967</c:v>
                </c:pt>
                <c:pt idx="110">
                  <c:v>115.59464040913019</c:v>
                </c:pt>
                <c:pt idx="111">
                  <c:v>113.59633460163813</c:v>
                </c:pt>
                <c:pt idx="112">
                  <c:v>114.51730763632085</c:v>
                </c:pt>
                <c:pt idx="113">
                  <c:v>114.67037726535958</c:v>
                </c:pt>
                <c:pt idx="114">
                  <c:v>114.23477582468335</c:v>
                </c:pt>
                <c:pt idx="115">
                  <c:v>112.70313204112097</c:v>
                </c:pt>
                <c:pt idx="116">
                  <c:v>113.39562067946281</c:v>
                </c:pt>
                <c:pt idx="117">
                  <c:v>113.89355727946965</c:v>
                </c:pt>
                <c:pt idx="118">
                  <c:v>115.1217166817238</c:v>
                </c:pt>
                <c:pt idx="119">
                  <c:v>114.12750285248003</c:v>
                </c:pt>
                <c:pt idx="120">
                  <c:v>112.91324873221056</c:v>
                </c:pt>
                <c:pt idx="121">
                  <c:v>112.76254421793871</c:v>
                </c:pt>
                <c:pt idx="122">
                  <c:v>111.17864924963905</c:v>
                </c:pt>
                <c:pt idx="123">
                  <c:v>109.93916697406108</c:v>
                </c:pt>
                <c:pt idx="124">
                  <c:v>109.40588757621741</c:v>
                </c:pt>
                <c:pt idx="125">
                  <c:v>111.0016226258433</c:v>
                </c:pt>
                <c:pt idx="126">
                  <c:v>112.76512220943356</c:v>
                </c:pt>
                <c:pt idx="127">
                  <c:v>112.92135552169826</c:v>
                </c:pt>
                <c:pt idx="128">
                  <c:v>111.59094624948787</c:v>
                </c:pt>
                <c:pt idx="129">
                  <c:v>111.80331248235237</c:v>
                </c:pt>
                <c:pt idx="130">
                  <c:v>111.86531522754659</c:v>
                </c:pt>
                <c:pt idx="131">
                  <c:v>111.87465475236345</c:v>
                </c:pt>
                <c:pt idx="132">
                  <c:v>112.61315070691528</c:v>
                </c:pt>
                <c:pt idx="133">
                  <c:v>113.15504320306789</c:v>
                </c:pt>
                <c:pt idx="134">
                  <c:v>113.21181595154358</c:v>
                </c:pt>
                <c:pt idx="135">
                  <c:v>113.77920753746622</c:v>
                </c:pt>
                <c:pt idx="136">
                  <c:v>115.46863275541635</c:v>
                </c:pt>
                <c:pt idx="137">
                  <c:v>115.09883948270026</c:v>
                </c:pt>
                <c:pt idx="138">
                  <c:v>115.1116714786896</c:v>
                </c:pt>
                <c:pt idx="139">
                  <c:v>116.64596230979596</c:v>
                </c:pt>
                <c:pt idx="140">
                  <c:v>119.52032159941885</c:v>
                </c:pt>
                <c:pt idx="141">
                  <c:v>118.74617349698292</c:v>
                </c:pt>
                <c:pt idx="142">
                  <c:v>116.69260009027778</c:v>
                </c:pt>
                <c:pt idx="143">
                  <c:v>115.19046900719626</c:v>
                </c:pt>
                <c:pt idx="144">
                  <c:v>113.19136871509116</c:v>
                </c:pt>
                <c:pt idx="145">
                  <c:v>112.43642279194108</c:v>
                </c:pt>
                <c:pt idx="146">
                  <c:v>112.39532016897945</c:v>
                </c:pt>
                <c:pt idx="147">
                  <c:v>113.67785055554542</c:v>
                </c:pt>
                <c:pt idx="148">
                  <c:v>114.10671433511683</c:v>
                </c:pt>
                <c:pt idx="149">
                  <c:v>113.80598709497045</c:v>
                </c:pt>
                <c:pt idx="150">
                  <c:v>113.76148550040492</c:v>
                </c:pt>
                <c:pt idx="151">
                  <c:v>112.45029870687397</c:v>
                </c:pt>
                <c:pt idx="152">
                  <c:v>112.45801397142243</c:v>
                </c:pt>
                <c:pt idx="153">
                  <c:v>113.46219674557324</c:v>
                </c:pt>
                <c:pt idx="154">
                  <c:v>113.47330203477286</c:v>
                </c:pt>
                <c:pt idx="155">
                  <c:v>113.11155466639877</c:v>
                </c:pt>
                <c:pt idx="156">
                  <c:v>113.82890015157886</c:v>
                </c:pt>
                <c:pt idx="157">
                  <c:v>114.44726389424174</c:v>
                </c:pt>
                <c:pt idx="158">
                  <c:v>113.5876116968341</c:v>
                </c:pt>
                <c:pt idx="159">
                  <c:v>112.9235546057176</c:v>
                </c:pt>
                <c:pt idx="160">
                  <c:v>113.26314889126485</c:v>
                </c:pt>
                <c:pt idx="161">
                  <c:v>113.92664280783816</c:v>
                </c:pt>
                <c:pt idx="162">
                  <c:v>113.82216338692798</c:v>
                </c:pt>
                <c:pt idx="163">
                  <c:v>113.33438183248825</c:v>
                </c:pt>
                <c:pt idx="164">
                  <c:v>113.24949640832757</c:v>
                </c:pt>
                <c:pt idx="165">
                  <c:v>117.19015486898181</c:v>
                </c:pt>
                <c:pt idx="166">
                  <c:v>118.71788594256239</c:v>
                </c:pt>
                <c:pt idx="167">
                  <c:v>118.46651176020319</c:v>
                </c:pt>
                <c:pt idx="168">
                  <c:v>118.2800416278626</c:v>
                </c:pt>
                <c:pt idx="169">
                  <c:v>116.91776283638485</c:v>
                </c:pt>
                <c:pt idx="170">
                  <c:v>115.09039925599041</c:v>
                </c:pt>
                <c:pt idx="171">
                  <c:v>115.3841677301086</c:v>
                </c:pt>
                <c:pt idx="172">
                  <c:v>114.9006344525165</c:v>
                </c:pt>
                <c:pt idx="173">
                  <c:v>114.19812349763102</c:v>
                </c:pt>
                <c:pt idx="174">
                  <c:v>114.47950493408914</c:v>
                </c:pt>
                <c:pt idx="175">
                  <c:v>114.84747073825271</c:v>
                </c:pt>
                <c:pt idx="176">
                  <c:v>114.78178403904296</c:v>
                </c:pt>
                <c:pt idx="177">
                  <c:v>115.29378449077353</c:v>
                </c:pt>
                <c:pt idx="178">
                  <c:v>114.62422336583899</c:v>
                </c:pt>
                <c:pt idx="179">
                  <c:v>114.41622461082734</c:v>
                </c:pt>
                <c:pt idx="180">
                  <c:v>113.24423834803768</c:v>
                </c:pt>
                <c:pt idx="181">
                  <c:v>112.03805254353458</c:v>
                </c:pt>
                <c:pt idx="182">
                  <c:v>110.27542170708767</c:v>
                </c:pt>
                <c:pt idx="183">
                  <c:v>109.24543533116878</c:v>
                </c:pt>
                <c:pt idx="184">
                  <c:v>110.21492958354099</c:v>
                </c:pt>
                <c:pt idx="185">
                  <c:v>110.44967725061396</c:v>
                </c:pt>
                <c:pt idx="186">
                  <c:v>111.23111612706256</c:v>
                </c:pt>
                <c:pt idx="187">
                  <c:v>110.75411500846174</c:v>
                </c:pt>
                <c:pt idx="188">
                  <c:v>109.56400472017773</c:v>
                </c:pt>
                <c:pt idx="189">
                  <c:v>108.37120136761673</c:v>
                </c:pt>
                <c:pt idx="190">
                  <c:v>107.76958590962626</c:v>
                </c:pt>
                <c:pt idx="191">
                  <c:v>107.22033922165687</c:v>
                </c:pt>
                <c:pt idx="192">
                  <c:v>105.07679951827431</c:v>
                </c:pt>
                <c:pt idx="193">
                  <c:v>105.5864410058896</c:v>
                </c:pt>
                <c:pt idx="194">
                  <c:v>105.58957438930858</c:v>
                </c:pt>
                <c:pt idx="195">
                  <c:v>106.55429835279097</c:v>
                </c:pt>
                <c:pt idx="196">
                  <c:v>107.08855687857702</c:v>
                </c:pt>
                <c:pt idx="197">
                  <c:v>107.91610875250177</c:v>
                </c:pt>
                <c:pt idx="198">
                  <c:v>107.85067395687906</c:v>
                </c:pt>
                <c:pt idx="199">
                  <c:v>107.41981968484653</c:v>
                </c:pt>
                <c:pt idx="200">
                  <c:v>106.58694435694142</c:v>
                </c:pt>
                <c:pt idx="201">
                  <c:v>106.79204118323659</c:v>
                </c:pt>
                <c:pt idx="202">
                  <c:v>107.09831464888347</c:v>
                </c:pt>
                <c:pt idx="203">
                  <c:v>107.43958590196044</c:v>
                </c:pt>
                <c:pt idx="204">
                  <c:v>108.4453020342952</c:v>
                </c:pt>
                <c:pt idx="205">
                  <c:v>108.43492674129413</c:v>
                </c:pt>
                <c:pt idx="206">
                  <c:v>108.04914574857835</c:v>
                </c:pt>
                <c:pt idx="207">
                  <c:v>107.40902097130603</c:v>
                </c:pt>
                <c:pt idx="208">
                  <c:v>107.94312758773916</c:v>
                </c:pt>
                <c:pt idx="209">
                  <c:v>108.58924935913895</c:v>
                </c:pt>
                <c:pt idx="210">
                  <c:v>111.02720672139428</c:v>
                </c:pt>
                <c:pt idx="211">
                  <c:v>110.45475930315376</c:v>
                </c:pt>
                <c:pt idx="212">
                  <c:v>110.47701904456375</c:v>
                </c:pt>
                <c:pt idx="213">
                  <c:v>109.75744301849301</c:v>
                </c:pt>
                <c:pt idx="214">
                  <c:v>108.08670686850822</c:v>
                </c:pt>
                <c:pt idx="215">
                  <c:v>105.46333434731903</c:v>
                </c:pt>
                <c:pt idx="216">
                  <c:v>104.63255373574047</c:v>
                </c:pt>
                <c:pt idx="217">
                  <c:v>104.23777742859212</c:v>
                </c:pt>
                <c:pt idx="218">
                  <c:v>104.00832733820499</c:v>
                </c:pt>
                <c:pt idx="219">
                  <c:v>103.76449378360959</c:v>
                </c:pt>
                <c:pt idx="220">
                  <c:v>103.22102420599965</c:v>
                </c:pt>
                <c:pt idx="221">
                  <c:v>101.00838815710426</c:v>
                </c:pt>
                <c:pt idx="222">
                  <c:v>99.937697099103588</c:v>
                </c:pt>
                <c:pt idx="223">
                  <c:v>100.50305205429689</c:v>
                </c:pt>
                <c:pt idx="224">
                  <c:v>97.051399098413953</c:v>
                </c:pt>
                <c:pt idx="225">
                  <c:v>97.874350881653939</c:v>
                </c:pt>
                <c:pt idx="226">
                  <c:v>98.088700960872458</c:v>
                </c:pt>
                <c:pt idx="227">
                  <c:v>99.636124180302062</c:v>
                </c:pt>
                <c:pt idx="228">
                  <c:v>99.230668729074864</c:v>
                </c:pt>
                <c:pt idx="229">
                  <c:v>97.282882042914338</c:v>
                </c:pt>
                <c:pt idx="230">
                  <c:v>97.645934389687753</c:v>
                </c:pt>
                <c:pt idx="231">
                  <c:v>100.10050206852583</c:v>
                </c:pt>
                <c:pt idx="232">
                  <c:v>101.77926551118254</c:v>
                </c:pt>
                <c:pt idx="233">
                  <c:v>102.40003445649202</c:v>
                </c:pt>
                <c:pt idx="234">
                  <c:v>103.1775382795326</c:v>
                </c:pt>
                <c:pt idx="235">
                  <c:v>103.02932583968003</c:v>
                </c:pt>
                <c:pt idx="236">
                  <c:v>103.66677511579033</c:v>
                </c:pt>
                <c:pt idx="237">
                  <c:v>104.49973600621685</c:v>
                </c:pt>
                <c:pt idx="238">
                  <c:v>104.71024248980862</c:v>
                </c:pt>
                <c:pt idx="239">
                  <c:v>103.00591400075875</c:v>
                </c:pt>
                <c:pt idx="240">
                  <c:v>104.21208498139852</c:v>
                </c:pt>
                <c:pt idx="241">
                  <c:v>104.56291347217098</c:v>
                </c:pt>
                <c:pt idx="242">
                  <c:v>104.35475489432342</c:v>
                </c:pt>
                <c:pt idx="243">
                  <c:v>103.16749432139808</c:v>
                </c:pt>
                <c:pt idx="244">
                  <c:v>103.47435453492443</c:v>
                </c:pt>
                <c:pt idx="245">
                  <c:v>103.70906655057055</c:v>
                </c:pt>
                <c:pt idx="246">
                  <c:v>103.32462187685279</c:v>
                </c:pt>
                <c:pt idx="247">
                  <c:v>103.1865744106257</c:v>
                </c:pt>
                <c:pt idx="248">
                  <c:v>103.09835751418262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6-4768-B9E9-F48528D59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410895"/>
        <c:axId val="1419408495"/>
      </c:lineChart>
      <c:catAx>
        <c:axId val="141941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08495"/>
        <c:crosses val="autoZero"/>
        <c:auto val="1"/>
        <c:lblAlgn val="ctr"/>
        <c:lblOffset val="100"/>
        <c:noMultiLvlLbl val="0"/>
      </c:catAx>
      <c:valAx>
        <c:axId val="141940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1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'Mix Stocks'!$Y$3:$Y$250</c:f>
              <c:strCache>
                <c:ptCount val="248"/>
                <c:pt idx="0">
                  <c:v>Date  </c:v>
                </c:pt>
                <c:pt idx="1">
                  <c:v>27-Feb-25</c:v>
                </c:pt>
                <c:pt idx="2">
                  <c:v>28-Feb-25</c:v>
                </c:pt>
                <c:pt idx="3">
                  <c:v>03-Mar-25</c:v>
                </c:pt>
                <c:pt idx="4">
                  <c:v>04-Mar-25</c:v>
                </c:pt>
                <c:pt idx="5">
                  <c:v>05-Mar-25</c:v>
                </c:pt>
                <c:pt idx="6">
                  <c:v>06-Mar-25</c:v>
                </c:pt>
                <c:pt idx="7">
                  <c:v>07-Mar-25</c:v>
                </c:pt>
                <c:pt idx="8">
                  <c:v>10-Mar-25</c:v>
                </c:pt>
                <c:pt idx="9">
                  <c:v>11-Mar-25</c:v>
                </c:pt>
                <c:pt idx="10">
                  <c:v>12-Mar-25</c:v>
                </c:pt>
                <c:pt idx="11">
                  <c:v>13-Mar-25</c:v>
                </c:pt>
                <c:pt idx="12">
                  <c:v>17-Mar-25</c:v>
                </c:pt>
                <c:pt idx="13">
                  <c:v>18-Mar-25</c:v>
                </c:pt>
                <c:pt idx="14">
                  <c:v>19-Mar-25</c:v>
                </c:pt>
                <c:pt idx="15">
                  <c:v>20-Mar-25</c:v>
                </c:pt>
                <c:pt idx="16">
                  <c:v>21-Mar-25</c:v>
                </c:pt>
                <c:pt idx="17">
                  <c:v>24-Mar-25</c:v>
                </c:pt>
                <c:pt idx="18">
                  <c:v>25-Mar-25</c:v>
                </c:pt>
                <c:pt idx="19">
                  <c:v>26-Mar-25</c:v>
                </c:pt>
                <c:pt idx="20">
                  <c:v>27-Mar-25</c:v>
                </c:pt>
                <c:pt idx="21">
                  <c:v>28-Mar-25</c:v>
                </c:pt>
                <c:pt idx="22">
                  <c:v>01-Apr-25</c:v>
                </c:pt>
                <c:pt idx="23">
                  <c:v>02-Apr-25</c:v>
                </c:pt>
                <c:pt idx="24">
                  <c:v>03-Apr-25</c:v>
                </c:pt>
                <c:pt idx="25">
                  <c:v>04-Apr-25</c:v>
                </c:pt>
                <c:pt idx="26">
                  <c:v>07-Apr-25</c:v>
                </c:pt>
                <c:pt idx="27">
                  <c:v>08-Apr-25</c:v>
                </c:pt>
                <c:pt idx="28">
                  <c:v>09-Apr-25</c:v>
                </c:pt>
                <c:pt idx="29">
                  <c:v>11-Apr-25</c:v>
                </c:pt>
                <c:pt idx="30">
                  <c:v>15-Apr-25</c:v>
                </c:pt>
                <c:pt idx="31">
                  <c:v>16-Apr-25</c:v>
                </c:pt>
                <c:pt idx="32">
                  <c:v>17-Apr-25</c:v>
                </c:pt>
                <c:pt idx="33">
                  <c:v>21-Apr-25</c:v>
                </c:pt>
                <c:pt idx="34">
                  <c:v>22-Apr-25</c:v>
                </c:pt>
                <c:pt idx="35">
                  <c:v>23-Apr-25</c:v>
                </c:pt>
                <c:pt idx="36">
                  <c:v>24-Apr-25</c:v>
                </c:pt>
                <c:pt idx="37">
                  <c:v>25-Apr-25</c:v>
                </c:pt>
                <c:pt idx="38">
                  <c:v>28-Apr-25</c:v>
                </c:pt>
                <c:pt idx="39">
                  <c:v>29-Apr-25</c:v>
                </c:pt>
                <c:pt idx="40">
                  <c:v>30-Apr-25</c:v>
                </c:pt>
                <c:pt idx="41">
                  <c:v>02-May-25</c:v>
                </c:pt>
                <c:pt idx="42">
                  <c:v>05-May-25</c:v>
                </c:pt>
                <c:pt idx="43">
                  <c:v>06-May-25</c:v>
                </c:pt>
                <c:pt idx="44">
                  <c:v>07-May-25</c:v>
                </c:pt>
                <c:pt idx="45">
                  <c:v>08-May-25</c:v>
                </c:pt>
                <c:pt idx="46">
                  <c:v>09-May-25</c:v>
                </c:pt>
                <c:pt idx="47">
                  <c:v>12-May-25</c:v>
                </c:pt>
                <c:pt idx="48">
                  <c:v>13-May-25</c:v>
                </c:pt>
                <c:pt idx="49">
                  <c:v>14-May-25</c:v>
                </c:pt>
                <c:pt idx="50">
                  <c:v>15-May-25</c:v>
                </c:pt>
                <c:pt idx="51">
                  <c:v>16-May-25</c:v>
                </c:pt>
                <c:pt idx="52">
                  <c:v>19-May-25</c:v>
                </c:pt>
                <c:pt idx="53">
                  <c:v>20-May-25</c:v>
                </c:pt>
                <c:pt idx="54">
                  <c:v>21-May-25</c:v>
                </c:pt>
                <c:pt idx="55">
                  <c:v>22-May-25</c:v>
                </c:pt>
                <c:pt idx="56">
                  <c:v>23-May-25</c:v>
                </c:pt>
                <c:pt idx="57">
                  <c:v>26-May-25</c:v>
                </c:pt>
                <c:pt idx="58">
                  <c:v>27-May-25</c:v>
                </c:pt>
                <c:pt idx="59">
                  <c:v>28-May-25</c:v>
                </c:pt>
                <c:pt idx="60">
                  <c:v>29-May-25</c:v>
                </c:pt>
                <c:pt idx="61">
                  <c:v>30-May-25</c:v>
                </c:pt>
                <c:pt idx="62">
                  <c:v>02-Jun-25</c:v>
                </c:pt>
                <c:pt idx="63">
                  <c:v>03-Jun-25</c:v>
                </c:pt>
                <c:pt idx="64">
                  <c:v>04-Jun-25</c:v>
                </c:pt>
                <c:pt idx="65">
                  <c:v>05-Jun-25</c:v>
                </c:pt>
                <c:pt idx="66">
                  <c:v>06-Jun-25</c:v>
                </c:pt>
                <c:pt idx="67">
                  <c:v>09-Jun-25</c:v>
                </c:pt>
                <c:pt idx="68">
                  <c:v>10-Jun-25</c:v>
                </c:pt>
                <c:pt idx="69">
                  <c:v>11-Jun-25</c:v>
                </c:pt>
                <c:pt idx="70">
                  <c:v>12-Jun-25</c:v>
                </c:pt>
                <c:pt idx="71">
                  <c:v>13-Jun-25</c:v>
                </c:pt>
                <c:pt idx="72">
                  <c:v>16-Jun-25</c:v>
                </c:pt>
                <c:pt idx="73">
                  <c:v>17-Jun-25</c:v>
                </c:pt>
                <c:pt idx="74">
                  <c:v>18-Jun-25</c:v>
                </c:pt>
                <c:pt idx="75">
                  <c:v>19-Jun-25</c:v>
                </c:pt>
                <c:pt idx="76">
                  <c:v>20-Jun-25</c:v>
                </c:pt>
                <c:pt idx="77">
                  <c:v>23-Jun-25</c:v>
                </c:pt>
                <c:pt idx="78">
                  <c:v>24-Jun-25</c:v>
                </c:pt>
                <c:pt idx="79">
                  <c:v>25-Jun-25</c:v>
                </c:pt>
                <c:pt idx="80">
                  <c:v>26-Jun-25</c:v>
                </c:pt>
                <c:pt idx="81">
                  <c:v>27-Jun-25</c:v>
                </c:pt>
                <c:pt idx="82">
                  <c:v>30-Jun-25</c:v>
                </c:pt>
                <c:pt idx="83">
                  <c:v>01-Jul-25</c:v>
                </c:pt>
                <c:pt idx="84">
                  <c:v>02-Jul-25</c:v>
                </c:pt>
                <c:pt idx="85">
                  <c:v>03-Jul-25</c:v>
                </c:pt>
                <c:pt idx="86">
                  <c:v>04-Jul-25</c:v>
                </c:pt>
                <c:pt idx="87">
                  <c:v>07-Jul-25</c:v>
                </c:pt>
                <c:pt idx="88">
                  <c:v>08-Jul-25</c:v>
                </c:pt>
                <c:pt idx="89">
                  <c:v>09-Jul-25</c:v>
                </c:pt>
                <c:pt idx="90">
                  <c:v>10-Jul-25</c:v>
                </c:pt>
                <c:pt idx="91">
                  <c:v>11-Jul-25</c:v>
                </c:pt>
                <c:pt idx="92">
                  <c:v>14-Jul-25</c:v>
                </c:pt>
                <c:pt idx="93">
                  <c:v>15-Jul-25</c:v>
                </c:pt>
                <c:pt idx="94">
                  <c:v>16-Jul-25</c:v>
                </c:pt>
                <c:pt idx="95">
                  <c:v>17-Jul-25</c:v>
                </c:pt>
                <c:pt idx="96">
                  <c:v>18-Jul-25</c:v>
                </c:pt>
                <c:pt idx="97">
                  <c:v>21-Jul-25</c:v>
                </c:pt>
                <c:pt idx="98">
                  <c:v>22-Jul-25</c:v>
                </c:pt>
                <c:pt idx="99">
                  <c:v>23-Jul-25</c:v>
                </c:pt>
                <c:pt idx="100">
                  <c:v>24-Jul-25</c:v>
                </c:pt>
                <c:pt idx="101">
                  <c:v>25-Jul-25</c:v>
                </c:pt>
                <c:pt idx="102">
                  <c:v>28-Jul-25</c:v>
                </c:pt>
                <c:pt idx="103">
                  <c:v>29-Jul-25</c:v>
                </c:pt>
                <c:pt idx="104">
                  <c:v>30-Jul-25</c:v>
                </c:pt>
                <c:pt idx="105">
                  <c:v>31-Jul-25</c:v>
                </c:pt>
                <c:pt idx="106">
                  <c:v>01-Aug-25</c:v>
                </c:pt>
                <c:pt idx="107">
                  <c:v>04-Aug-25</c:v>
                </c:pt>
                <c:pt idx="108">
                  <c:v>05-Aug-25</c:v>
                </c:pt>
                <c:pt idx="109">
                  <c:v>06-Aug-25</c:v>
                </c:pt>
                <c:pt idx="110">
                  <c:v>07-Aug-25</c:v>
                </c:pt>
                <c:pt idx="111">
                  <c:v>08-Aug-25</c:v>
                </c:pt>
                <c:pt idx="112">
                  <c:v>11-Aug-25</c:v>
                </c:pt>
                <c:pt idx="113">
                  <c:v>12-Aug-25</c:v>
                </c:pt>
                <c:pt idx="114">
                  <c:v>13-Aug-25</c:v>
                </c:pt>
                <c:pt idx="115">
                  <c:v>14-Aug-25</c:v>
                </c:pt>
                <c:pt idx="116">
                  <c:v>18-Aug-25</c:v>
                </c:pt>
                <c:pt idx="117">
                  <c:v>19-Aug-25</c:v>
                </c:pt>
                <c:pt idx="118">
                  <c:v>20-Aug-25</c:v>
                </c:pt>
                <c:pt idx="119">
                  <c:v>21-Aug-25</c:v>
                </c:pt>
                <c:pt idx="120">
                  <c:v>22-Aug-25</c:v>
                </c:pt>
                <c:pt idx="121">
                  <c:v>25-Aug-25</c:v>
                </c:pt>
                <c:pt idx="122">
                  <c:v>26-Aug-25</c:v>
                </c:pt>
                <c:pt idx="123">
                  <c:v>28-Aug-25</c:v>
                </c:pt>
                <c:pt idx="124">
                  <c:v>29-Aug-25</c:v>
                </c:pt>
                <c:pt idx="125">
                  <c:v>01-Sep-25</c:v>
                </c:pt>
                <c:pt idx="126">
                  <c:v>02-Sep-25</c:v>
                </c:pt>
                <c:pt idx="127">
                  <c:v>03-Sep-25</c:v>
                </c:pt>
                <c:pt idx="128">
                  <c:v>04-Sep-25</c:v>
                </c:pt>
                <c:pt idx="129">
                  <c:v>05-Sep-25</c:v>
                </c:pt>
                <c:pt idx="130">
                  <c:v>08-Sep-25</c:v>
                </c:pt>
                <c:pt idx="131">
                  <c:v>09-Sep-25</c:v>
                </c:pt>
                <c:pt idx="132">
                  <c:v>10-Sep-25</c:v>
                </c:pt>
                <c:pt idx="133">
                  <c:v>11-Sep-25</c:v>
                </c:pt>
                <c:pt idx="134">
                  <c:v>12-Sep-25</c:v>
                </c:pt>
                <c:pt idx="135">
                  <c:v>15-Sep-25</c:v>
                </c:pt>
                <c:pt idx="136">
                  <c:v>16-Sep-25</c:v>
                </c:pt>
                <c:pt idx="137">
                  <c:v>17-Sep-25</c:v>
                </c:pt>
                <c:pt idx="138">
                  <c:v>18-Sep-25</c:v>
                </c:pt>
                <c:pt idx="139">
                  <c:v>19-Sep-25</c:v>
                </c:pt>
                <c:pt idx="140">
                  <c:v>22-Sep-25</c:v>
                </c:pt>
                <c:pt idx="141">
                  <c:v>23-Sep-25</c:v>
                </c:pt>
                <c:pt idx="142">
                  <c:v>24-Sep-25</c:v>
                </c:pt>
                <c:pt idx="143">
                  <c:v>25-Sep-25</c:v>
                </c:pt>
                <c:pt idx="144">
                  <c:v>26-Sep-25</c:v>
                </c:pt>
                <c:pt idx="145">
                  <c:v>29-Sep-25</c:v>
                </c:pt>
                <c:pt idx="146">
                  <c:v>30-Sep-25</c:v>
                </c:pt>
                <c:pt idx="147">
                  <c:v>01-Oct-25</c:v>
                </c:pt>
                <c:pt idx="148">
                  <c:v>03-Oct-25</c:v>
                </c:pt>
                <c:pt idx="149">
                  <c:v>06-Oct-25</c:v>
                </c:pt>
                <c:pt idx="150">
                  <c:v>07-Oct-25</c:v>
                </c:pt>
                <c:pt idx="151">
                  <c:v>08-Oct-25</c:v>
                </c:pt>
                <c:pt idx="152">
                  <c:v>09-Oct-25</c:v>
                </c:pt>
                <c:pt idx="153">
                  <c:v>10-Oct-25</c:v>
                </c:pt>
                <c:pt idx="154">
                  <c:v>13-Oct-25</c:v>
                </c:pt>
                <c:pt idx="155">
                  <c:v>14-Oct-25</c:v>
                </c:pt>
                <c:pt idx="156">
                  <c:v>15-Oct-25</c:v>
                </c:pt>
                <c:pt idx="157">
                  <c:v>16-Oct-25</c:v>
                </c:pt>
                <c:pt idx="158">
                  <c:v>17-Oct-25</c:v>
                </c:pt>
                <c:pt idx="159">
                  <c:v>20-Oct-25</c:v>
                </c:pt>
                <c:pt idx="160">
                  <c:v>21-Oct-25</c:v>
                </c:pt>
                <c:pt idx="161">
                  <c:v>23-Oct-25</c:v>
                </c:pt>
                <c:pt idx="162">
                  <c:v>24-Oct-25</c:v>
                </c:pt>
                <c:pt idx="163">
                  <c:v>27-Oct-25</c:v>
                </c:pt>
                <c:pt idx="164">
                  <c:v>28-Oct-25</c:v>
                </c:pt>
                <c:pt idx="165">
                  <c:v>29-Oct-25</c:v>
                </c:pt>
                <c:pt idx="166">
                  <c:v>30-Oct-25</c:v>
                </c:pt>
                <c:pt idx="167">
                  <c:v>31-Oct-25</c:v>
                </c:pt>
                <c:pt idx="168">
                  <c:v>03-Nov-25</c:v>
                </c:pt>
                <c:pt idx="169">
                  <c:v>04-Nov-25</c:v>
                </c:pt>
                <c:pt idx="170">
                  <c:v>06-Nov-25</c:v>
                </c:pt>
                <c:pt idx="171">
                  <c:v>07-Nov-25</c:v>
                </c:pt>
                <c:pt idx="172">
                  <c:v>10-Nov-25</c:v>
                </c:pt>
                <c:pt idx="173">
                  <c:v>11-Nov-25</c:v>
                </c:pt>
                <c:pt idx="174">
                  <c:v>12-Nov-25</c:v>
                </c:pt>
                <c:pt idx="175">
                  <c:v>13-Nov-25</c:v>
                </c:pt>
                <c:pt idx="176">
                  <c:v>14-Nov-25</c:v>
                </c:pt>
                <c:pt idx="177">
                  <c:v>17-Nov-25</c:v>
                </c:pt>
                <c:pt idx="178">
                  <c:v>18-Nov-25</c:v>
                </c:pt>
                <c:pt idx="179">
                  <c:v>19-Nov-25</c:v>
                </c:pt>
                <c:pt idx="180">
                  <c:v>20-Nov-25</c:v>
                </c:pt>
                <c:pt idx="181">
                  <c:v>21-Nov-25</c:v>
                </c:pt>
                <c:pt idx="182">
                  <c:v>24-Nov-25</c:v>
                </c:pt>
                <c:pt idx="183">
                  <c:v>25-Nov-25</c:v>
                </c:pt>
                <c:pt idx="184">
                  <c:v>26-Nov-25</c:v>
                </c:pt>
                <c:pt idx="185">
                  <c:v>27-Nov-25</c:v>
                </c:pt>
                <c:pt idx="186">
                  <c:v>28-Nov-25</c:v>
                </c:pt>
                <c:pt idx="187">
                  <c:v>01-Dec-25</c:v>
                </c:pt>
                <c:pt idx="188">
                  <c:v>02-Dec-25</c:v>
                </c:pt>
                <c:pt idx="189">
                  <c:v>03-Dec-25</c:v>
                </c:pt>
                <c:pt idx="190">
                  <c:v>04-Dec-25</c:v>
                </c:pt>
                <c:pt idx="191">
                  <c:v>05-Dec-25</c:v>
                </c:pt>
                <c:pt idx="192">
                  <c:v>08-Dec-25</c:v>
                </c:pt>
                <c:pt idx="193">
                  <c:v>09-Dec-25</c:v>
                </c:pt>
                <c:pt idx="194">
                  <c:v>10-Dec-25</c:v>
                </c:pt>
                <c:pt idx="195">
                  <c:v>11-Dec-25</c:v>
                </c:pt>
                <c:pt idx="196">
                  <c:v>12-Dec-25</c:v>
                </c:pt>
                <c:pt idx="197">
                  <c:v>15-Dec-25</c:v>
                </c:pt>
                <c:pt idx="198">
                  <c:v>16-Dec-25</c:v>
                </c:pt>
                <c:pt idx="199">
                  <c:v>17-Dec-25</c:v>
                </c:pt>
                <c:pt idx="200">
                  <c:v>18-Dec-25</c:v>
                </c:pt>
                <c:pt idx="201">
                  <c:v>19-Dec-25</c:v>
                </c:pt>
                <c:pt idx="202">
                  <c:v>22-Dec-25</c:v>
                </c:pt>
                <c:pt idx="203">
                  <c:v>23-Dec-25</c:v>
                </c:pt>
                <c:pt idx="204">
                  <c:v>24-Dec-25</c:v>
                </c:pt>
                <c:pt idx="205">
                  <c:v>26-Dec-25</c:v>
                </c:pt>
                <c:pt idx="206">
                  <c:v>29-Dec-25</c:v>
                </c:pt>
                <c:pt idx="207">
                  <c:v>30-Dec-25</c:v>
                </c:pt>
                <c:pt idx="208">
                  <c:v>31-Dec-25</c:v>
                </c:pt>
                <c:pt idx="209">
                  <c:v>01-Jan-26</c:v>
                </c:pt>
                <c:pt idx="210">
                  <c:v>02-Jan-26</c:v>
                </c:pt>
                <c:pt idx="211">
                  <c:v>05-Jan-26</c:v>
                </c:pt>
                <c:pt idx="212">
                  <c:v>06-Jan-26</c:v>
                </c:pt>
                <c:pt idx="213">
                  <c:v>07-Jan-26</c:v>
                </c:pt>
                <c:pt idx="214">
                  <c:v>08-Jan-26</c:v>
                </c:pt>
                <c:pt idx="215">
                  <c:v>09-Jan-26</c:v>
                </c:pt>
                <c:pt idx="216">
                  <c:v>12-Jan-26</c:v>
                </c:pt>
                <c:pt idx="217">
                  <c:v>13-Jan-26</c:v>
                </c:pt>
                <c:pt idx="218">
                  <c:v>14-Jan-26</c:v>
                </c:pt>
                <c:pt idx="219">
                  <c:v>16-Jan-26</c:v>
                </c:pt>
                <c:pt idx="220">
                  <c:v>19-Jan-26</c:v>
                </c:pt>
                <c:pt idx="221">
                  <c:v>20-Jan-26</c:v>
                </c:pt>
                <c:pt idx="222">
                  <c:v>21-Jan-26</c:v>
                </c:pt>
                <c:pt idx="223">
                  <c:v>22-Jan-26</c:v>
                </c:pt>
                <c:pt idx="224">
                  <c:v>23-Jan-26</c:v>
                </c:pt>
                <c:pt idx="225">
                  <c:v>27-Jan-26</c:v>
                </c:pt>
                <c:pt idx="226">
                  <c:v>28-Jan-26</c:v>
                </c:pt>
                <c:pt idx="227">
                  <c:v>29-Jan-26</c:v>
                </c:pt>
                <c:pt idx="228">
                  <c:v>30-Jan-26</c:v>
                </c:pt>
                <c:pt idx="229">
                  <c:v>01-Feb-26</c:v>
                </c:pt>
                <c:pt idx="230">
                  <c:v>02-Feb-26</c:v>
                </c:pt>
                <c:pt idx="231">
                  <c:v>03-Feb-26</c:v>
                </c:pt>
                <c:pt idx="232">
                  <c:v>04-Feb-26</c:v>
                </c:pt>
                <c:pt idx="233">
                  <c:v>05-Feb-26</c:v>
                </c:pt>
                <c:pt idx="234">
                  <c:v>06-Feb-26</c:v>
                </c:pt>
                <c:pt idx="235">
                  <c:v>09-Feb-26</c:v>
                </c:pt>
                <c:pt idx="236">
                  <c:v>10-Feb-26</c:v>
                </c:pt>
                <c:pt idx="237">
                  <c:v>11-Feb-26</c:v>
                </c:pt>
                <c:pt idx="238">
                  <c:v>12-Feb-26</c:v>
                </c:pt>
                <c:pt idx="239">
                  <c:v>13-Feb-26</c:v>
                </c:pt>
                <c:pt idx="240">
                  <c:v>16-Feb-26</c:v>
                </c:pt>
                <c:pt idx="241">
                  <c:v>17-Feb-26</c:v>
                </c:pt>
                <c:pt idx="242">
                  <c:v>18-Feb-26</c:v>
                </c:pt>
                <c:pt idx="243">
                  <c:v>19-Feb-26</c:v>
                </c:pt>
                <c:pt idx="244">
                  <c:v>20-Feb-26</c:v>
                </c:pt>
                <c:pt idx="245">
                  <c:v>23-Feb-26</c:v>
                </c:pt>
                <c:pt idx="246">
                  <c:v>24-Feb-26</c:v>
                </c:pt>
                <c:pt idx="247">
                  <c:v>25-Feb-26</c:v>
                </c:pt>
              </c:strCache>
            </c:strRef>
          </c:cat>
          <c:val>
            <c:numRef>
              <c:f>'Mix Stocks'!$AE$3:$AE$250</c:f>
              <c:numCache>
                <c:formatCode>General</c:formatCode>
                <c:ptCount val="248"/>
                <c:pt idx="0">
                  <c:v>100</c:v>
                </c:pt>
                <c:pt idx="1">
                  <c:v>100</c:v>
                </c:pt>
                <c:pt idx="2">
                  <c:v>97.073896429419975</c:v>
                </c:pt>
                <c:pt idx="3">
                  <c:v>98.711405457201266</c:v>
                </c:pt>
                <c:pt idx="4">
                  <c:v>98.606864780972103</c:v>
                </c:pt>
                <c:pt idx="5">
                  <c:v>101.54016897862086</c:v>
                </c:pt>
                <c:pt idx="6">
                  <c:v>101.82749877767097</c:v>
                </c:pt>
                <c:pt idx="7">
                  <c:v>101.21513568929771</c:v>
                </c:pt>
                <c:pt idx="8">
                  <c:v>101.0516747008411</c:v>
                </c:pt>
                <c:pt idx="9">
                  <c:v>100.43602223015581</c:v>
                </c:pt>
                <c:pt idx="10">
                  <c:v>100.14992380205834</c:v>
                </c:pt>
                <c:pt idx="11">
                  <c:v>100.28104111870381</c:v>
                </c:pt>
                <c:pt idx="12">
                  <c:v>100.87279985700017</c:v>
                </c:pt>
                <c:pt idx="13">
                  <c:v>102.71828483337981</c:v>
                </c:pt>
                <c:pt idx="14">
                  <c:v>103.87808007961982</c:v>
                </c:pt>
                <c:pt idx="15">
                  <c:v>104.56461145558876</c:v>
                </c:pt>
                <c:pt idx="16">
                  <c:v>105.76408307439749</c:v>
                </c:pt>
                <c:pt idx="17">
                  <c:v>106.94927613987835</c:v>
                </c:pt>
                <c:pt idx="18">
                  <c:v>106.56570402891839</c:v>
                </c:pt>
                <c:pt idx="19">
                  <c:v>105.59450599621165</c:v>
                </c:pt>
                <c:pt idx="20">
                  <c:v>107.71939418745536</c:v>
                </c:pt>
                <c:pt idx="21">
                  <c:v>106.32312502567662</c:v>
                </c:pt>
                <c:pt idx="22">
                  <c:v>104.93612483273772</c:v>
                </c:pt>
                <c:pt idx="23">
                  <c:v>105.95230092413331</c:v>
                </c:pt>
                <c:pt idx="24">
                  <c:v>106.6738335212512</c:v>
                </c:pt>
                <c:pt idx="25">
                  <c:v>103.69490454702266</c:v>
                </c:pt>
                <c:pt idx="26">
                  <c:v>99.860329180177402</c:v>
                </c:pt>
                <c:pt idx="27">
                  <c:v>101.43270422236063</c:v>
                </c:pt>
                <c:pt idx="28">
                  <c:v>100.07675309812187</c:v>
                </c:pt>
                <c:pt idx="29">
                  <c:v>101.79608738988215</c:v>
                </c:pt>
                <c:pt idx="30">
                  <c:v>104.54487373379713</c:v>
                </c:pt>
                <c:pt idx="31">
                  <c:v>105.03791277931042</c:v>
                </c:pt>
                <c:pt idx="32">
                  <c:v>106.18281020854715</c:v>
                </c:pt>
                <c:pt idx="33">
                  <c:v>108.07767716490051</c:v>
                </c:pt>
                <c:pt idx="34">
                  <c:v>107.48798012616223</c:v>
                </c:pt>
                <c:pt idx="35">
                  <c:v>108.49295326023687</c:v>
                </c:pt>
                <c:pt idx="36">
                  <c:v>109.17975352412316</c:v>
                </c:pt>
                <c:pt idx="37">
                  <c:v>107.14798846326518</c:v>
                </c:pt>
                <c:pt idx="38">
                  <c:v>108.72857840151869</c:v>
                </c:pt>
                <c:pt idx="39">
                  <c:v>107.92703764645266</c:v>
                </c:pt>
                <c:pt idx="40">
                  <c:v>105.80862470517896</c:v>
                </c:pt>
                <c:pt idx="41">
                  <c:v>106.12939293070775</c:v>
                </c:pt>
                <c:pt idx="42">
                  <c:v>107.71096520422329</c:v>
                </c:pt>
                <c:pt idx="43">
                  <c:v>105.33914057626056</c:v>
                </c:pt>
                <c:pt idx="44">
                  <c:v>105.37190267768769</c:v>
                </c:pt>
                <c:pt idx="45">
                  <c:v>103.847628821668</c:v>
                </c:pt>
                <c:pt idx="46">
                  <c:v>103.79064271326051</c:v>
                </c:pt>
                <c:pt idx="47">
                  <c:v>109.26960576850763</c:v>
                </c:pt>
                <c:pt idx="48">
                  <c:v>108.6525617857161</c:v>
                </c:pt>
                <c:pt idx="49">
                  <c:v>109.70479819070131</c:v>
                </c:pt>
                <c:pt idx="50">
                  <c:v>110.55883001612278</c:v>
                </c:pt>
                <c:pt idx="51">
                  <c:v>111.50634267260624</c:v>
                </c:pt>
                <c:pt idx="52">
                  <c:v>111.29613097092638</c:v>
                </c:pt>
                <c:pt idx="53">
                  <c:v>109.39397814428513</c:v>
                </c:pt>
                <c:pt idx="54">
                  <c:v>109.9766662108447</c:v>
                </c:pt>
                <c:pt idx="55">
                  <c:v>108.98199010761914</c:v>
                </c:pt>
                <c:pt idx="56">
                  <c:v>109.95431203809747</c:v>
                </c:pt>
                <c:pt idx="57">
                  <c:v>110.75317517200665</c:v>
                </c:pt>
                <c:pt idx="58">
                  <c:v>110.2372741075102</c:v>
                </c:pt>
                <c:pt idx="59">
                  <c:v>109.4217154117362</c:v>
                </c:pt>
                <c:pt idx="60">
                  <c:v>110.09136061568493</c:v>
                </c:pt>
                <c:pt idx="61">
                  <c:v>109.73352338277348</c:v>
                </c:pt>
                <c:pt idx="62">
                  <c:v>109.83950108235273</c:v>
                </c:pt>
                <c:pt idx="63">
                  <c:v>108.62483305319118</c:v>
                </c:pt>
                <c:pt idx="64">
                  <c:v>109.04428044933894</c:v>
                </c:pt>
                <c:pt idx="65">
                  <c:v>109.2041564712565</c:v>
                </c:pt>
                <c:pt idx="66">
                  <c:v>110.43164421986741</c:v>
                </c:pt>
                <c:pt idx="67">
                  <c:v>111.59158202760582</c:v>
                </c:pt>
                <c:pt idx="68">
                  <c:v>113.04450845447585</c:v>
                </c:pt>
                <c:pt idx="69">
                  <c:v>113.14633576639739</c:v>
                </c:pt>
                <c:pt idx="70">
                  <c:v>110.968477852457</c:v>
                </c:pt>
                <c:pt idx="71">
                  <c:v>109.45996970792322</c:v>
                </c:pt>
                <c:pt idx="72">
                  <c:v>110.31839863507912</c:v>
                </c:pt>
                <c:pt idx="73">
                  <c:v>109.80573091488381</c:v>
                </c:pt>
                <c:pt idx="74">
                  <c:v>109.35652717795794</c:v>
                </c:pt>
                <c:pt idx="75">
                  <c:v>107.59046009841525</c:v>
                </c:pt>
                <c:pt idx="76">
                  <c:v>108.73439991660958</c:v>
                </c:pt>
                <c:pt idx="77">
                  <c:v>108.54745968120903</c:v>
                </c:pt>
                <c:pt idx="78">
                  <c:v>109.82088538945943</c:v>
                </c:pt>
                <c:pt idx="79">
                  <c:v>110.79975058807624</c:v>
                </c:pt>
                <c:pt idx="80">
                  <c:v>111.44127340849636</c:v>
                </c:pt>
                <c:pt idx="81">
                  <c:v>112.67830742180081</c:v>
                </c:pt>
                <c:pt idx="82">
                  <c:v>112.83813301002222</c:v>
                </c:pt>
                <c:pt idx="83">
                  <c:v>112.93174987896495</c:v>
                </c:pt>
                <c:pt idx="84">
                  <c:v>113.13664388305887</c:v>
                </c:pt>
                <c:pt idx="85">
                  <c:v>112.28382761372728</c:v>
                </c:pt>
                <c:pt idx="86">
                  <c:v>112.68287226784874</c:v>
                </c:pt>
                <c:pt idx="87">
                  <c:v>112.04290380476971</c:v>
                </c:pt>
                <c:pt idx="88">
                  <c:v>112.48817546868463</c:v>
                </c:pt>
                <c:pt idx="89">
                  <c:v>112.58376063768394</c:v>
                </c:pt>
                <c:pt idx="90">
                  <c:v>112.16666946458045</c:v>
                </c:pt>
                <c:pt idx="91">
                  <c:v>111.65374910443931</c:v>
                </c:pt>
                <c:pt idx="92">
                  <c:v>112.45572994243989</c:v>
                </c:pt>
                <c:pt idx="93">
                  <c:v>113.10751865197135</c:v>
                </c:pt>
                <c:pt idx="94">
                  <c:v>114.70802050571592</c:v>
                </c:pt>
                <c:pt idx="95">
                  <c:v>114.5256615553038</c:v>
                </c:pt>
                <c:pt idx="96">
                  <c:v>113.55645551530286</c:v>
                </c:pt>
                <c:pt idx="97">
                  <c:v>113.34106178369385</c:v>
                </c:pt>
                <c:pt idx="98">
                  <c:v>112.04793040679775</c:v>
                </c:pt>
                <c:pt idx="99">
                  <c:v>112.83093106779593</c:v>
                </c:pt>
                <c:pt idx="100">
                  <c:v>111.90503940309848</c:v>
                </c:pt>
                <c:pt idx="101">
                  <c:v>109.75741577644423</c:v>
                </c:pt>
                <c:pt idx="102">
                  <c:v>110.34528807358942</c:v>
                </c:pt>
                <c:pt idx="103">
                  <c:v>110.64656138688493</c:v>
                </c:pt>
                <c:pt idx="104">
                  <c:v>110.83876641276308</c:v>
                </c:pt>
                <c:pt idx="105">
                  <c:v>109.74025046152622</c:v>
                </c:pt>
                <c:pt idx="106">
                  <c:v>108.09726452267024</c:v>
                </c:pt>
                <c:pt idx="107">
                  <c:v>108.67045324140108</c:v>
                </c:pt>
                <c:pt idx="108">
                  <c:v>108.12429425464767</c:v>
                </c:pt>
                <c:pt idx="109">
                  <c:v>107.5718937244892</c:v>
                </c:pt>
                <c:pt idx="110">
                  <c:v>107.20071908705572</c:v>
                </c:pt>
                <c:pt idx="111">
                  <c:v>105.86227890790751</c:v>
                </c:pt>
                <c:pt idx="112">
                  <c:v>107.56124256170685</c:v>
                </c:pt>
                <c:pt idx="113">
                  <c:v>107.53310847629331</c:v>
                </c:pt>
                <c:pt idx="114">
                  <c:v>107.60416524868172</c:v>
                </c:pt>
                <c:pt idx="115">
                  <c:v>107.61176553162403</c:v>
                </c:pt>
                <c:pt idx="116">
                  <c:v>108.75375179879816</c:v>
                </c:pt>
                <c:pt idx="117">
                  <c:v>109.82452030215198</c:v>
                </c:pt>
                <c:pt idx="118">
                  <c:v>110.65622217423342</c:v>
                </c:pt>
                <c:pt idx="119">
                  <c:v>110.17124593961449</c:v>
                </c:pt>
                <c:pt idx="120">
                  <c:v>109.01938318824271</c:v>
                </c:pt>
                <c:pt idx="121">
                  <c:v>109.57079560644289</c:v>
                </c:pt>
                <c:pt idx="122">
                  <c:v>108.18390788040965</c:v>
                </c:pt>
                <c:pt idx="123">
                  <c:v>106.80561656292926</c:v>
                </c:pt>
                <c:pt idx="124">
                  <c:v>106.6719499099393</c:v>
                </c:pt>
                <c:pt idx="125">
                  <c:v>108.26141235017388</c:v>
                </c:pt>
                <c:pt idx="126">
                  <c:v>108.52461250783034</c:v>
                </c:pt>
                <c:pt idx="127">
                  <c:v>108.80388191398376</c:v>
                </c:pt>
                <c:pt idx="128">
                  <c:v>107.77795797844666</c:v>
                </c:pt>
                <c:pt idx="129">
                  <c:v>107.64452534288945</c:v>
                </c:pt>
                <c:pt idx="130">
                  <c:v>107.61995936849812</c:v>
                </c:pt>
                <c:pt idx="131">
                  <c:v>108.63064988636404</c:v>
                </c:pt>
                <c:pt idx="132">
                  <c:v>109.68815126460221</c:v>
                </c:pt>
                <c:pt idx="133">
                  <c:v>109.84337993506668</c:v>
                </c:pt>
                <c:pt idx="134">
                  <c:v>109.98111303853784</c:v>
                </c:pt>
                <c:pt idx="135">
                  <c:v>110.12678769065712</c:v>
                </c:pt>
                <c:pt idx="136">
                  <c:v>111.11263764949648</c:v>
                </c:pt>
                <c:pt idx="137">
                  <c:v>112.00302850011197</c:v>
                </c:pt>
                <c:pt idx="138">
                  <c:v>111.89022972061021</c:v>
                </c:pt>
                <c:pt idx="139">
                  <c:v>113.29296087003499</c:v>
                </c:pt>
                <c:pt idx="140">
                  <c:v>115.23163296283687</c:v>
                </c:pt>
                <c:pt idx="141">
                  <c:v>114.91261816288167</c:v>
                </c:pt>
                <c:pt idx="142">
                  <c:v>113.34266537292338</c:v>
                </c:pt>
                <c:pt idx="143">
                  <c:v>112.31752378974798</c:v>
                </c:pt>
                <c:pt idx="144">
                  <c:v>110.80950804583856</c:v>
                </c:pt>
                <c:pt idx="145">
                  <c:v>111.16334003377766</c:v>
                </c:pt>
                <c:pt idx="146">
                  <c:v>111.3240308803539</c:v>
                </c:pt>
                <c:pt idx="147">
                  <c:v>111.93662404580877</c:v>
                </c:pt>
                <c:pt idx="148">
                  <c:v>112.34151233896412</c:v>
                </c:pt>
                <c:pt idx="149">
                  <c:v>112.7786910371146</c:v>
                </c:pt>
                <c:pt idx="150">
                  <c:v>112.40874102889265</c:v>
                </c:pt>
                <c:pt idx="151">
                  <c:v>111.49103223000962</c:v>
                </c:pt>
                <c:pt idx="152">
                  <c:v>112.29889377358728</c:v>
                </c:pt>
                <c:pt idx="153">
                  <c:v>113.4533614084659</c:v>
                </c:pt>
                <c:pt idx="154">
                  <c:v>112.91259962803385</c:v>
                </c:pt>
                <c:pt idx="155">
                  <c:v>112.26982984655737</c:v>
                </c:pt>
                <c:pt idx="156">
                  <c:v>113.20652768248431</c:v>
                </c:pt>
                <c:pt idx="157">
                  <c:v>113.79359392696662</c:v>
                </c:pt>
                <c:pt idx="158">
                  <c:v>112.91111111985137</c:v>
                </c:pt>
                <c:pt idx="159">
                  <c:v>113.77031824052163</c:v>
                </c:pt>
                <c:pt idx="160">
                  <c:v>113.96662435730619</c:v>
                </c:pt>
                <c:pt idx="161">
                  <c:v>114.52390092487428</c:v>
                </c:pt>
                <c:pt idx="162">
                  <c:v>113.62532879786724</c:v>
                </c:pt>
                <c:pt idx="163">
                  <c:v>114.00347046134578</c:v>
                </c:pt>
                <c:pt idx="164">
                  <c:v>113.66970975704972</c:v>
                </c:pt>
                <c:pt idx="165">
                  <c:v>117.35421086393922</c:v>
                </c:pt>
                <c:pt idx="166">
                  <c:v>117.5662292022871</c:v>
                </c:pt>
                <c:pt idx="167">
                  <c:v>116.98664933595813</c:v>
                </c:pt>
                <c:pt idx="168">
                  <c:v>116.96088650559159</c:v>
                </c:pt>
                <c:pt idx="169">
                  <c:v>115.80196637075574</c:v>
                </c:pt>
                <c:pt idx="170">
                  <c:v>114.79025301863859</c:v>
                </c:pt>
                <c:pt idx="171">
                  <c:v>114.7834257121998</c:v>
                </c:pt>
                <c:pt idx="172">
                  <c:v>114.75196166950636</c:v>
                </c:pt>
                <c:pt idx="173">
                  <c:v>115.19737297627618</c:v>
                </c:pt>
                <c:pt idx="174">
                  <c:v>115.73842873258423</c:v>
                </c:pt>
                <c:pt idx="175">
                  <c:v>115.67543888425669</c:v>
                </c:pt>
                <c:pt idx="176">
                  <c:v>115.32409060392816</c:v>
                </c:pt>
                <c:pt idx="177">
                  <c:v>116.16349795580246</c:v>
                </c:pt>
                <c:pt idx="178">
                  <c:v>115.31172200448435</c:v>
                </c:pt>
                <c:pt idx="179">
                  <c:v>116.04352568980634</c:v>
                </c:pt>
                <c:pt idx="180">
                  <c:v>115.78388118004638</c:v>
                </c:pt>
                <c:pt idx="181">
                  <c:v>114.88958941641283</c:v>
                </c:pt>
                <c:pt idx="182">
                  <c:v>113.89412055735008</c:v>
                </c:pt>
                <c:pt idx="183">
                  <c:v>113.91257753118776</c:v>
                </c:pt>
                <c:pt idx="184">
                  <c:v>115.85025377164632</c:v>
                </c:pt>
                <c:pt idx="185">
                  <c:v>115.40884406858419</c:v>
                </c:pt>
                <c:pt idx="186">
                  <c:v>115.70141446656743</c:v>
                </c:pt>
                <c:pt idx="187">
                  <c:v>115.45049507508423</c:v>
                </c:pt>
                <c:pt idx="188">
                  <c:v>114.79093348234548</c:v>
                </c:pt>
                <c:pt idx="189">
                  <c:v>113.85338967545694</c:v>
                </c:pt>
                <c:pt idx="190">
                  <c:v>114.10117679585085</c:v>
                </c:pt>
                <c:pt idx="191">
                  <c:v>115.11031964214227</c:v>
                </c:pt>
                <c:pt idx="192">
                  <c:v>113.2317271444989</c:v>
                </c:pt>
                <c:pt idx="193">
                  <c:v>113.26960534917544</c:v>
                </c:pt>
                <c:pt idx="194">
                  <c:v>113.05656200057444</c:v>
                </c:pt>
                <c:pt idx="195">
                  <c:v>114.16333080527654</c:v>
                </c:pt>
                <c:pt idx="196">
                  <c:v>115.08367636775458</c:v>
                </c:pt>
                <c:pt idx="197">
                  <c:v>115.45218611778651</c:v>
                </c:pt>
                <c:pt idx="198">
                  <c:v>114.28626401867734</c:v>
                </c:pt>
                <c:pt idx="199">
                  <c:v>114.59884934475475</c:v>
                </c:pt>
                <c:pt idx="200">
                  <c:v>114.37716091795933</c:v>
                </c:pt>
                <c:pt idx="201">
                  <c:v>115.28594047280779</c:v>
                </c:pt>
                <c:pt idx="202">
                  <c:v>115.80671723739098</c:v>
                </c:pt>
                <c:pt idx="203">
                  <c:v>115.68951147058492</c:v>
                </c:pt>
                <c:pt idx="204">
                  <c:v>115.4265129701148</c:v>
                </c:pt>
                <c:pt idx="205">
                  <c:v>115.35018740916939</c:v>
                </c:pt>
                <c:pt idx="206">
                  <c:v>114.58446158782985</c:v>
                </c:pt>
                <c:pt idx="207">
                  <c:v>114.38984760875144</c:v>
                </c:pt>
                <c:pt idx="208">
                  <c:v>115.24459390919519</c:v>
                </c:pt>
                <c:pt idx="209">
                  <c:v>116.05359592822909</c:v>
                </c:pt>
                <c:pt idx="210">
                  <c:v>117.72891422510727</c:v>
                </c:pt>
                <c:pt idx="211">
                  <c:v>117.25807779721707</c:v>
                </c:pt>
                <c:pt idx="212">
                  <c:v>117.47502459517911</c:v>
                </c:pt>
                <c:pt idx="213">
                  <c:v>116.99219323172305</c:v>
                </c:pt>
                <c:pt idx="214">
                  <c:v>115.10522856919262</c:v>
                </c:pt>
                <c:pt idx="215">
                  <c:v>113.41345222798618</c:v>
                </c:pt>
                <c:pt idx="216">
                  <c:v>114.19690447277023</c:v>
                </c:pt>
                <c:pt idx="217">
                  <c:v>114.28197398783195</c:v>
                </c:pt>
                <c:pt idx="218">
                  <c:v>114.46286759098771</c:v>
                </c:pt>
                <c:pt idx="219">
                  <c:v>115.95877205592643</c:v>
                </c:pt>
                <c:pt idx="220">
                  <c:v>115.0698353992107</c:v>
                </c:pt>
                <c:pt idx="221">
                  <c:v>112.99185867752527</c:v>
                </c:pt>
                <c:pt idx="222">
                  <c:v>112.56812773710521</c:v>
                </c:pt>
                <c:pt idx="223">
                  <c:v>114.28282884073487</c:v>
                </c:pt>
                <c:pt idx="224">
                  <c:v>110.45459215819031</c:v>
                </c:pt>
                <c:pt idx="225">
                  <c:v>112.34347584212175</c:v>
                </c:pt>
                <c:pt idx="226">
                  <c:v>113.74007010537277</c:v>
                </c:pt>
                <c:pt idx="227">
                  <c:v>115.28155111971068</c:v>
                </c:pt>
                <c:pt idx="228">
                  <c:v>115.19923834592137</c:v>
                </c:pt>
                <c:pt idx="229">
                  <c:v>111.20155079111819</c:v>
                </c:pt>
                <c:pt idx="230">
                  <c:v>112.65319725764739</c:v>
                </c:pt>
                <c:pt idx="231">
                  <c:v>116.44089396858959</c:v>
                </c:pt>
                <c:pt idx="232">
                  <c:v>116.30739097160537</c:v>
                </c:pt>
                <c:pt idx="233">
                  <c:v>115.95879806414432</c:v>
                </c:pt>
                <c:pt idx="234">
                  <c:v>115.7235323783961</c:v>
                </c:pt>
                <c:pt idx="235">
                  <c:v>118.84614843618617</c:v>
                </c:pt>
                <c:pt idx="236">
                  <c:v>118.76701552128497</c:v>
                </c:pt>
                <c:pt idx="237">
                  <c:v>120.30543960706045</c:v>
                </c:pt>
                <c:pt idx="238">
                  <c:v>120.02996535093874</c:v>
                </c:pt>
                <c:pt idx="239">
                  <c:v>118.43983014629488</c:v>
                </c:pt>
                <c:pt idx="240">
                  <c:v>120.16301517994457</c:v>
                </c:pt>
                <c:pt idx="241">
                  <c:v>120.89923151433247</c:v>
                </c:pt>
                <c:pt idx="242">
                  <c:v>120.67736582528624</c:v>
                </c:pt>
                <c:pt idx="243">
                  <c:v>118.481575611612</c:v>
                </c:pt>
                <c:pt idx="244">
                  <c:v>119.16676917288059</c:v>
                </c:pt>
                <c:pt idx="245">
                  <c:v>119.61540883356034</c:v>
                </c:pt>
                <c:pt idx="246">
                  <c:v>119.07953502493606</c:v>
                </c:pt>
                <c:pt idx="247">
                  <c:v>118.43138145410174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F-487B-9C9E-A8E50814D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981039"/>
        <c:axId val="287971919"/>
      </c:lineChart>
      <c:catAx>
        <c:axId val="28798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971919"/>
        <c:crosses val="autoZero"/>
        <c:auto val="1"/>
        <c:lblAlgn val="ctr"/>
        <c:lblOffset val="100"/>
        <c:noMultiLvlLbl val="0"/>
      </c:catAx>
      <c:valAx>
        <c:axId val="28797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98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91587</xdr:colOff>
      <xdr:row>9</xdr:row>
      <xdr:rowOff>6089</xdr:rowOff>
    </xdr:from>
    <xdr:to>
      <xdr:col>51</xdr:col>
      <xdr:colOff>198265</xdr:colOff>
      <xdr:row>29</xdr:row>
      <xdr:rowOff>93719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1234D-B68A-7475-276B-FA7DEC52E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184591</xdr:colOff>
      <xdr:row>42</xdr:row>
      <xdr:rowOff>22961</xdr:rowOff>
    </xdr:from>
    <xdr:to>
      <xdr:col>48</xdr:col>
      <xdr:colOff>542108</xdr:colOff>
      <xdr:row>60</xdr:row>
      <xdr:rowOff>72414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1632C-10F5-406B-9BDE-0D5113B68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436563</xdr:colOff>
      <xdr:row>4</xdr:row>
      <xdr:rowOff>150812</xdr:rowOff>
    </xdr:from>
    <xdr:to>
      <xdr:col>42</xdr:col>
      <xdr:colOff>365124</xdr:colOff>
      <xdr:row>25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80EA31-B45A-41CC-91B5-0271DB200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22860</xdr:colOff>
      <xdr:row>2</xdr:row>
      <xdr:rowOff>175260</xdr:rowOff>
    </xdr:from>
    <xdr:to>
      <xdr:col>38</xdr:col>
      <xdr:colOff>281940</xdr:colOff>
      <xdr:row>21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A55727-6C07-4F53-A024-C49C573AA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0</xdr:colOff>
      <xdr:row>4</xdr:row>
      <xdr:rowOff>0</xdr:rowOff>
    </xdr:from>
    <xdr:to>
      <xdr:col>59</xdr:col>
      <xdr:colOff>167640</xdr:colOff>
      <xdr:row>22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DC0C4A-B8CA-4B8A-88BA-4AE511E7F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BA16DB-8DFA-4C5A-B8CA-6CD43BAF3029}" name="Table3" displayName="Table3" ref="A3:AA253" headerRowCount="0" totalsRowShown="0">
  <tableColumns count="27">
    <tableColumn id="1" xr3:uid="{9F5A7AD0-0D6D-46DD-A24C-907CD558CA7D}" name="Column1" dataDxfId="24"/>
    <tableColumn id="2" xr3:uid="{80658CC1-980E-4DA9-95B7-18F2D6E2D668}" name="Column2" dataDxfId="23"/>
    <tableColumn id="3" xr3:uid="{969F8864-9ED6-48D6-9117-5849E53DFB49}" name="Column3" dataDxfId="22" dataCellStyle="Percent">
      <calculatedColumnFormula>(B3-B2)/B2</calculatedColumnFormula>
    </tableColumn>
    <tableColumn id="4" xr3:uid="{663633AA-AFF9-4931-9015-F5E5517F275C}" name="Column4" dataDxfId="21" dataCellStyle="Percent">
      <calculatedColumnFormula>D2*(1+C3)</calculatedColumnFormula>
    </tableColumn>
    <tableColumn id="5" xr3:uid="{1DD59576-0DA5-4CDD-BD1F-5D27E644420B}" name="Column5" dataDxfId="20" dataCellStyle="Percent"/>
    <tableColumn id="6" xr3:uid="{F3D45E00-25EF-410B-B307-470D87026BCC}" name="Column6" dataDxfId="19"/>
    <tableColumn id="7" xr3:uid="{917F9336-82CC-4F40-813A-5E77BBC29242}" name="Column7" dataDxfId="18"/>
    <tableColumn id="8" xr3:uid="{11C8F2C1-80C9-42FC-9420-DF50F51719BB}" name="Column8">
      <calculatedColumnFormula>(G3-G2)/G2</calculatedColumnFormula>
    </tableColumn>
    <tableColumn id="9" xr3:uid="{AE763096-17DB-46FF-948E-7806E4C48AF1}" name="Column9">
      <calculatedColumnFormula>I2*(1+H3)</calculatedColumnFormula>
    </tableColumn>
    <tableColumn id="10" xr3:uid="{79EFAEFC-A200-4B7C-8E4E-C7BF9923086C}" name="Column10"/>
    <tableColumn id="11" xr3:uid="{4D2C7C82-AD2A-4608-AE41-175F03EA0F67}" name="Column11" dataDxfId="17"/>
    <tableColumn id="12" xr3:uid="{57A40FA9-B89A-4AE1-8CC9-AD5E89A04279}" name="Column12" dataDxfId="16"/>
    <tableColumn id="13" xr3:uid="{71E88EA6-EEE9-4D8C-B46C-184518FA197D}" name="Column13" dataDxfId="15">
      <calculatedColumnFormula>(L3-L2)/L2</calculatedColumnFormula>
    </tableColumn>
    <tableColumn id="14" xr3:uid="{ECDED3DB-C864-477C-83CB-692E549A3959}" name="Column14" dataDxfId="14">
      <calculatedColumnFormula>N2*(1+M3)</calculatedColumnFormula>
    </tableColumn>
    <tableColumn id="15" xr3:uid="{F28E9EF8-7BDE-4F2A-BC42-F8725584A589}" name="Column15" dataDxfId="13"/>
    <tableColumn id="16" xr3:uid="{C69D1268-68B2-4E8A-B272-7624E6249646}" name="Column16" dataDxfId="12"/>
    <tableColumn id="17" xr3:uid="{A8235C2E-BD0E-4E9F-A60B-727FDEB25C4E}" name="Column17" dataDxfId="11"/>
    <tableColumn id="18" xr3:uid="{5E071613-A29B-4807-9B26-86AC0B2CFFB0}" name="Column18"/>
    <tableColumn id="19" xr3:uid="{ED6EB4DD-250E-4CAA-9BDF-1D4AA308E993}" name="Column19"/>
    <tableColumn id="20" xr3:uid="{DCD92C4E-562D-486D-A626-CE0AAEFD47C4}" name="Column20"/>
    <tableColumn id="21" xr3:uid="{E82F4D84-6EB8-461B-9F84-9DE5A1D7A4B3}" name="Column21"/>
    <tableColumn id="22" xr3:uid="{71D4408F-08B0-4E09-80C7-003A45763087}" name="Column22"/>
    <tableColumn id="23" xr3:uid="{0FD411D3-47B5-423F-8E81-04CBE2F7F5A6}" name="Column23"/>
    <tableColumn id="24" xr3:uid="{2F6C5DBF-677A-4800-A2E9-56C4B36F8CDC}" name="Column24"/>
    <tableColumn id="25" xr3:uid="{FEF144DA-8822-43FE-883D-568E699E9E75}" name="Column25"/>
    <tableColumn id="26" xr3:uid="{F3A3E7E9-612F-4998-BABC-A33EB4269F4A}" name="Column26"/>
    <tableColumn id="27" xr3:uid="{9185BBA4-C7FF-4F78-9FFB-CCB50FD0E4A1}" name="Column27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A0191C-9C5C-49A8-A56D-87E1565B7F48}" name="Table2" displayName="Table2" ref="A3:AA251" headerRowCount="0" totalsRowShown="0">
  <tableColumns count="27">
    <tableColumn id="1" xr3:uid="{9F20E642-F345-4D72-8727-3F7607C0584A}" name="Column1" dataDxfId="10"/>
    <tableColumn id="2" xr3:uid="{32E269E5-2DCC-469C-8A1B-7F484D4B855D}" name="Column2"/>
    <tableColumn id="3" xr3:uid="{DDFBF202-EAAD-4473-8F13-0FFC2D74ABDB}" name="Column3">
      <calculatedColumnFormula>(B3-B2)/B2</calculatedColumnFormula>
    </tableColumn>
    <tableColumn id="4" xr3:uid="{33FDA370-04B5-464A-8CE9-CEA3D56562A7}" name="Column4">
      <calculatedColumnFormula>D2*(1+C3)</calculatedColumnFormula>
    </tableColumn>
    <tableColumn id="5" xr3:uid="{4DF7AF30-581C-4F2C-9D23-54A033665714}" name="Column5"/>
    <tableColumn id="6" xr3:uid="{3DEC3D44-305E-4256-A565-CCE45E45BF25}" name="Column6" dataDxfId="9"/>
    <tableColumn id="7" xr3:uid="{38CBDBBE-7CEA-4605-94E8-29A2C8ED3910}" name="Column7"/>
    <tableColumn id="8" xr3:uid="{0E1CEA28-762F-4652-8358-4014967E8FBB}" name="Column8">
      <calculatedColumnFormula>(G3-G2)/G2</calculatedColumnFormula>
    </tableColumn>
    <tableColumn id="9" xr3:uid="{9D4928C2-542F-4E21-ADF8-3DF0EF476068}" name="Column9">
      <calculatedColumnFormula>I2*(1+H3)</calculatedColumnFormula>
    </tableColumn>
    <tableColumn id="10" xr3:uid="{AD66C90B-6921-4E26-9F16-3170E0B20E90}" name="Column10"/>
    <tableColumn id="11" xr3:uid="{60C53248-B107-4495-B646-D24CB2F51B2E}" name="Column11" dataDxfId="8"/>
    <tableColumn id="12" xr3:uid="{A68A2227-CC72-48B2-870B-2149339D84C8}" name="Column12"/>
    <tableColumn id="13" xr3:uid="{5A0654C7-6E0C-4AED-885C-CEF1A7416142}" name="Column13">
      <calculatedColumnFormula>(L3-L2)/L2</calculatedColumnFormula>
    </tableColumn>
    <tableColumn id="14" xr3:uid="{9EA3B150-8128-4D1A-A52A-9A70FD033CE5}" name="Column14">
      <calculatedColumnFormula>N2*(1+M3)</calculatedColumnFormula>
    </tableColumn>
    <tableColumn id="15" xr3:uid="{8B7C2FB7-B333-4357-94E1-D738B0DEDF11}" name="Column15"/>
    <tableColumn id="16" xr3:uid="{FD62A424-51EA-4893-8C2A-EC2A562DC4AD}" name="Column16" dataDxfId="7"/>
    <tableColumn id="17" xr3:uid="{2D6B6DB5-C110-44DA-AC7A-C1830D6C9B4F}" name="Column17"/>
    <tableColumn id="18" xr3:uid="{DFA34274-8EB7-451F-A1BC-DF687434D39E}" name="Column18">
      <calculatedColumnFormula>(Q3-Q2)/Q2</calculatedColumnFormula>
    </tableColumn>
    <tableColumn id="19" xr3:uid="{6BB8F1AF-2DCD-4C6D-A0AA-782A91444D09}" name="Column19">
      <calculatedColumnFormula>S2*(1+R3)</calculatedColumnFormula>
    </tableColumn>
    <tableColumn id="20" xr3:uid="{D3B8C4A1-2DF6-4FBF-86F2-399D8A8AA2A3}" name="Column20"/>
    <tableColumn id="21" xr3:uid="{470D9F7F-661D-4B99-89DF-B985A44008B3}" name="Column21" dataDxfId="6"/>
    <tableColumn id="22" xr3:uid="{97EE7E10-513C-436D-A8ED-1833893B3582}" name="Column22"/>
    <tableColumn id="23" xr3:uid="{EFECD5C1-A200-4760-9905-3082F1C8AA8B}" name="Column23">
      <calculatedColumnFormula>(V3-V2)/V2</calculatedColumnFormula>
    </tableColumn>
    <tableColumn id="24" xr3:uid="{9BEC4336-2936-4A48-92E8-03A48FB108D6}" name="Column24">
      <calculatedColumnFormula>X2*(1+W3)</calculatedColumnFormula>
    </tableColumn>
    <tableColumn id="25" xr3:uid="{E81AF76C-CB64-49EF-9BBD-5D672504B5EB}" name="Column25"/>
    <tableColumn id="26" xr3:uid="{9C5ADFFF-9044-468C-A336-F7D572674D2E}" name="Column26">
      <calculatedColumnFormula>X3+S3+N3+I3+D3</calculatedColumnFormula>
    </tableColumn>
    <tableColumn id="27" xr3:uid="{025C8A88-3E07-4412-BA9C-5FDDF43BD377}" name="Column27" dataDxfId="5">
      <calculatedColumnFormula>Z3/Z2-1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C4746-6CE4-405C-A0C3-53ABA3E66C08}" name="Table1" displayName="Table1" ref="A3:AF250" headerRowCount="0" totalsRowShown="0">
  <tableColumns count="32">
    <tableColumn id="1" xr3:uid="{ED538239-8313-43D4-BEC4-DFF6D5326A1A}" name="Column1" dataDxfId="33"/>
    <tableColumn id="2" xr3:uid="{10B4E7FD-C865-45DA-A840-F389E58D07D1}" name="Column2"/>
    <tableColumn id="3" xr3:uid="{4136DD60-EB4C-4C52-8AE7-EB1C5BC3E53C}" name="Column3">
      <calculatedColumnFormula>(B3-B2)/B2</calculatedColumnFormula>
    </tableColumn>
    <tableColumn id="4" xr3:uid="{889757E7-4BAB-40D5-BB39-471107AE6071}" name="Column4">
      <calculatedColumnFormula>D2*(1+C3)</calculatedColumnFormula>
    </tableColumn>
    <tableColumn id="5" xr3:uid="{9223438F-1229-4BD8-873E-0CEAB016F5E7}" name="Column5">
      <calculatedColumnFormula>C3-$C$252</calculatedColumnFormula>
    </tableColumn>
    <tableColumn id="6" xr3:uid="{32B2D86C-6EA8-43DD-BAC1-88C43591F380}" name="Column6"/>
    <tableColumn id="7" xr3:uid="{A4DB709E-6C90-449D-A84C-7AC5808C23D8}" name="Column7" dataDxfId="32"/>
    <tableColumn id="8" xr3:uid="{007BADCD-B8DC-4DB9-811E-99E0F0ABC214}" name="Column8"/>
    <tableColumn id="9" xr3:uid="{D3A978E1-5D45-4970-8A5E-AE20DE44EA96}" name="Column9">
      <calculatedColumnFormula>(H3-H2)/H2</calculatedColumnFormula>
    </tableColumn>
    <tableColumn id="10" xr3:uid="{6312580C-FCF6-4D98-9C14-ACE4DFFB256A}" name="Column10">
      <calculatedColumnFormula>J2*(1+I3)</calculatedColumnFormula>
    </tableColumn>
    <tableColumn id="11" xr3:uid="{1E86297A-3B14-4905-8C88-0BD4A4BB0818}" name="Column11">
      <calculatedColumnFormula>I3-$I$252</calculatedColumnFormula>
    </tableColumn>
    <tableColumn id="12" xr3:uid="{5F02840A-42D7-4611-9EAD-E927E14F1897}" name="Column12"/>
    <tableColumn id="13" xr3:uid="{196D4545-E2C1-41DC-94CC-D6A19113CED6}" name="Column13" dataDxfId="31"/>
    <tableColumn id="14" xr3:uid="{E700F299-5AD0-47F3-BE71-1A8C1E8E562D}" name="Column14" dataDxfId="30"/>
    <tableColumn id="15" xr3:uid="{EFD2E224-C360-4249-9075-04B1C43B9DB5}" name="Column15">
      <calculatedColumnFormula>(N3-N2)/N2</calculatedColumnFormula>
    </tableColumn>
    <tableColumn id="16" xr3:uid="{59160D2E-1F51-4683-9409-77759572A565}" name="Column16">
      <calculatedColumnFormula>P2*(1+O3)</calculatedColumnFormula>
    </tableColumn>
    <tableColumn id="17" xr3:uid="{10CEF3C2-53BD-4ACB-A9F3-054FC7F3BA15}" name="Column17">
      <calculatedColumnFormula>O3-$O$252</calculatedColumnFormula>
    </tableColumn>
    <tableColumn id="18" xr3:uid="{7B222A3F-8764-4171-89DA-E0036BE712E5}" name="Column18"/>
    <tableColumn id="19" xr3:uid="{98C4E166-26FF-4E3E-B936-5668D78DAC5B}" name="Column19" dataDxfId="29"/>
    <tableColumn id="20" xr3:uid="{34189B07-C599-4021-AEDD-3E4D5C14CAE3}" name="Column20" dataDxfId="28"/>
    <tableColumn id="21" xr3:uid="{5BF1DE3C-C4EB-40D5-92DC-0C9351E757D3}" name="Column21">
      <calculatedColumnFormula>(T3-T2)/T2</calculatedColumnFormula>
    </tableColumn>
    <tableColumn id="22" xr3:uid="{B50724C0-365D-4EE2-9DBE-DDC9267B6E49}" name="Column22">
      <calculatedColumnFormula>V2*(1+U3)</calculatedColumnFormula>
    </tableColumn>
    <tableColumn id="23" xr3:uid="{E7389C6F-0FE3-4A7A-9F09-91F946A50F05}" name="Column23">
      <calculatedColumnFormula>U3-$U$252</calculatedColumnFormula>
    </tableColumn>
    <tableColumn id="24" xr3:uid="{457548F3-0C9F-4C37-83D1-2EE6B0CDDAC9}" name="Column24"/>
    <tableColumn id="25" xr3:uid="{2B84C726-74D5-40E3-9800-DE5429657F2E}" name="Column25" dataDxfId="27"/>
    <tableColumn id="26" xr3:uid="{82F641B2-E7AC-4BB6-8C7E-F4D39DD4EC7B}" name="Column26" dataDxfId="26"/>
    <tableColumn id="27" xr3:uid="{4656F250-4638-41DB-AFC1-B456EA5CAB0E}" name="Column27" dataDxfId="25" dataCellStyle="Percent">
      <calculatedColumnFormula>(Z3-Z2)/Z2</calculatedColumnFormula>
    </tableColumn>
    <tableColumn id="28" xr3:uid="{DCA600FC-E55E-4984-BB11-466A82E9ADAB}" name="Column28">
      <calculatedColumnFormula>AB2*(1+AA3)</calculatedColumnFormula>
    </tableColumn>
    <tableColumn id="29" xr3:uid="{0EF673F2-8F7F-4368-A0AA-6F885BEFE0AF}" name="Column29">
      <calculatedColumnFormula>AA3-$AA$252</calculatedColumnFormula>
    </tableColumn>
    <tableColumn id="30" xr3:uid="{E0783EE9-8FD6-47B5-ACE5-27F6DC9B8862}" name="Column30"/>
    <tableColumn id="31" xr3:uid="{BE15681E-AC53-443C-A791-0265F84546A6}" name="Column31">
      <calculatedColumnFormula>AB3+V3+P3+J3+D3</calculatedColumnFormula>
    </tableColumn>
    <tableColumn id="32" xr3:uid="{EDA1941C-1610-4AB0-B7EC-BCB5AA375662}" name="Column32">
      <calculatedColumnFormula>AE3/AE2-1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9F8B90-6E89-441E-B448-467C42FB25A1}" name="Table4" displayName="Table4" ref="AH6:AL251" headerRowCount="0" totalsRowShown="0">
  <tableColumns count="5">
    <tableColumn id="1" xr3:uid="{A2D0668C-B9DA-4C92-996D-A43A492092C2}" name="Column1"/>
    <tableColumn id="2" xr3:uid="{210166D4-AC41-45DB-BC46-3A37CABCB513}" name="Column2"/>
    <tableColumn id="3" xr3:uid="{D1E50DA2-A0F5-43F3-96A5-2693CF3F1DDF}" name="Column3"/>
    <tableColumn id="4" xr3:uid="{CD2186D9-69C8-4F9A-B815-BC64BDA1F06F}" name="Column4"/>
    <tableColumn id="5" xr3:uid="{5B68AA41-04B5-41D6-BA1D-B1D42EED1974}" name="Column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2DF1-D934-424E-AB83-8C99675FB92E}">
  <dimension ref="A1:AD274"/>
  <sheetViews>
    <sheetView topLeftCell="G1" zoomScale="96" workbookViewId="0">
      <selection activeCell="D8" sqref="D8"/>
    </sheetView>
  </sheetViews>
  <sheetFormatPr defaultRowHeight="14.4" x14ac:dyDescent="0.3"/>
  <cols>
    <col min="1" max="1" width="10.44140625" customWidth="1"/>
    <col min="2" max="2" width="14.21875" bestFit="1" customWidth="1"/>
    <col min="3" max="3" width="13.21875" bestFit="1" customWidth="1"/>
    <col min="4" max="5" width="13.21875" customWidth="1"/>
    <col min="6" max="6" width="10.44140625" customWidth="1"/>
    <col min="7" max="7" width="11.21875" bestFit="1" customWidth="1"/>
    <col min="8" max="8" width="13.21875" bestFit="1" customWidth="1"/>
    <col min="9" max="10" width="13.21875" customWidth="1"/>
    <col min="11" max="13" width="11.44140625" customWidth="1"/>
    <col min="14" max="14" width="16.21875" customWidth="1"/>
    <col min="15" max="17" width="11.44140625" customWidth="1"/>
    <col min="18" max="18" width="13.21875" bestFit="1" customWidth="1"/>
    <col min="19" max="20" width="13.21875" customWidth="1"/>
    <col min="21" max="22" width="11.44140625" customWidth="1"/>
    <col min="23" max="23" width="13.21875" bestFit="1" customWidth="1"/>
    <col min="24" max="25" width="11.44140625" customWidth="1"/>
    <col min="26" max="26" width="12.44140625" bestFit="1" customWidth="1"/>
    <col min="27" max="27" width="11.44140625" customWidth="1"/>
    <col min="29" max="29" width="13.44140625" customWidth="1"/>
  </cols>
  <sheetData>
    <row r="1" spans="1:30" x14ac:dyDescent="0.3">
      <c r="Z1" s="13" t="s">
        <v>8</v>
      </c>
    </row>
    <row r="2" spans="1:30" x14ac:dyDescent="0.3">
      <c r="AC2" s="8" t="s">
        <v>12</v>
      </c>
    </row>
    <row r="3" spans="1:30" x14ac:dyDescent="0.3">
      <c r="A3" s="13" t="s">
        <v>0</v>
      </c>
      <c r="B3" s="13" t="s">
        <v>2</v>
      </c>
      <c r="C3" s="13" t="s">
        <v>4</v>
      </c>
      <c r="D3" s="13" t="s">
        <v>9</v>
      </c>
      <c r="E3" s="13"/>
      <c r="F3" s="13" t="s">
        <v>0</v>
      </c>
      <c r="G3" s="13" t="s">
        <v>1</v>
      </c>
      <c r="H3" s="13" t="s">
        <v>3</v>
      </c>
      <c r="I3" s="13" t="s">
        <v>9</v>
      </c>
      <c r="J3" s="13"/>
      <c r="K3" s="13" t="s">
        <v>0</v>
      </c>
      <c r="L3" s="13" t="s">
        <v>1</v>
      </c>
      <c r="M3" s="13" t="s">
        <v>5</v>
      </c>
      <c r="N3" s="13" t="s">
        <v>9</v>
      </c>
      <c r="O3" s="13"/>
      <c r="P3" s="13" t="s">
        <v>0</v>
      </c>
      <c r="Q3" s="13" t="s">
        <v>1</v>
      </c>
      <c r="R3" s="13" t="s">
        <v>6</v>
      </c>
      <c r="S3" s="13" t="s">
        <v>9</v>
      </c>
      <c r="T3" s="13"/>
      <c r="U3" s="13" t="s">
        <v>0</v>
      </c>
      <c r="V3" s="13" t="s">
        <v>1</v>
      </c>
      <c r="W3" s="13" t="s">
        <v>7</v>
      </c>
      <c r="X3" s="13" t="s">
        <v>9</v>
      </c>
      <c r="Y3" s="13"/>
      <c r="Z3" s="13">
        <v>100</v>
      </c>
      <c r="AA3" s="13" t="s">
        <v>10</v>
      </c>
      <c r="AC3" s="36">
        <f>AVERAGE(AA5:AA250)</f>
        <v>7.3705495399163667E-4</v>
      </c>
    </row>
    <row r="4" spans="1:30" x14ac:dyDescent="0.3">
      <c r="A4" s="1">
        <v>45715</v>
      </c>
      <c r="B4" s="2">
        <v>1764.3</v>
      </c>
      <c r="D4" s="5">
        <v>0.17</v>
      </c>
      <c r="E4" s="5"/>
      <c r="F4" s="1">
        <v>45715</v>
      </c>
      <c r="G4">
        <v>703.9</v>
      </c>
      <c r="I4" s="5">
        <v>0.26</v>
      </c>
      <c r="J4" s="5"/>
      <c r="K4" s="1">
        <v>45715</v>
      </c>
      <c r="L4" s="2">
        <v>1647.5</v>
      </c>
      <c r="N4" s="5">
        <v>0.14000000000000001</v>
      </c>
      <c r="O4" s="5"/>
      <c r="P4" s="1">
        <v>45715</v>
      </c>
      <c r="Q4" s="2">
        <v>12380.6</v>
      </c>
      <c r="S4" s="5">
        <v>0.21</v>
      </c>
      <c r="T4" s="5"/>
      <c r="U4" s="1">
        <v>45715</v>
      </c>
      <c r="V4" s="2">
        <v>10447.65</v>
      </c>
      <c r="X4" s="5">
        <v>0.22</v>
      </c>
      <c r="Y4" s="5"/>
      <c r="Z4">
        <v>100</v>
      </c>
    </row>
    <row r="5" spans="1:30" x14ac:dyDescent="0.3">
      <c r="A5" s="1">
        <v>45716</v>
      </c>
      <c r="B5" s="2">
        <v>1687.7</v>
      </c>
      <c r="C5" s="4">
        <f>(B5-B4)/B4</f>
        <v>-4.3416652496740864E-2</v>
      </c>
      <c r="D5" s="4">
        <f>$D$4*Z3*(1+C5)</f>
        <v>16.261916907555406</v>
      </c>
      <c r="E5" s="4"/>
      <c r="F5" s="1">
        <v>45716</v>
      </c>
      <c r="G5">
        <v>688.8</v>
      </c>
      <c r="H5">
        <f>(G5-G4)/G4</f>
        <v>-2.1451910782781677E-2</v>
      </c>
      <c r="I5">
        <f>$I$4*Z3*(1+H5)</f>
        <v>25.442250319647677</v>
      </c>
      <c r="K5" s="1">
        <v>45716</v>
      </c>
      <c r="L5" s="2">
        <v>1593.25</v>
      </c>
      <c r="M5" s="2">
        <f>(L5-L4)/L4</f>
        <v>-3.2928679817905919E-2</v>
      </c>
      <c r="N5" s="2">
        <f>$N$4*Z3*(1+M5)</f>
        <v>13.538998482549319</v>
      </c>
      <c r="O5" s="2"/>
      <c r="P5" s="1">
        <v>45716</v>
      </c>
      <c r="Q5" s="2">
        <v>11945.85</v>
      </c>
      <c r="R5">
        <f>(Q5-Q4)/Q4</f>
        <v>-3.5115422515871603E-2</v>
      </c>
      <c r="S5">
        <f>$S$4*Z3*(1+R5)</f>
        <v>20.262576127166696</v>
      </c>
      <c r="U5" s="1">
        <v>45716</v>
      </c>
      <c r="V5" s="2">
        <v>10128.450000000001</v>
      </c>
      <c r="W5">
        <f>(V5-V4)/V4</f>
        <v>-3.0552325164031998E-2</v>
      </c>
      <c r="X5">
        <f>$X$4*Z3*(1+W5)</f>
        <v>21.327848846391298</v>
      </c>
      <c r="Z5" s="2">
        <f>D5+I5+N5+S5+X5</f>
        <v>96.833590683310405</v>
      </c>
      <c r="AA5" s="3">
        <f>Z5/Z4-1</f>
        <v>-3.1664093166896001E-2</v>
      </c>
      <c r="AB5" s="2"/>
      <c r="AC5" s="9">
        <f>_xlfn.STDEV.P(AA5:AA250)</f>
        <v>6.1566166690929288E-3</v>
      </c>
      <c r="AD5" t="s">
        <v>11</v>
      </c>
    </row>
    <row r="6" spans="1:30" x14ac:dyDescent="0.3">
      <c r="A6" s="1">
        <v>45719</v>
      </c>
      <c r="B6" s="2">
        <v>1708.6</v>
      </c>
      <c r="C6" s="4">
        <f t="shared" ref="C6:C69" si="0">(B6-B5)/B5</f>
        <v>1.238371748533499E-2</v>
      </c>
      <c r="D6" s="4">
        <f>D5*(1+C6)</f>
        <v>16.463299892308566</v>
      </c>
      <c r="E6" s="4"/>
      <c r="F6" s="1">
        <v>45719</v>
      </c>
      <c r="G6">
        <v>695.3</v>
      </c>
      <c r="H6">
        <f t="shared" ref="H6:H69" si="1">(G6-G5)/G5</f>
        <v>9.4367015098722421E-3</v>
      </c>
      <c r="I6">
        <f>I5*(1+H6)</f>
        <v>25.682341241653642</v>
      </c>
      <c r="K6" s="1">
        <v>45719</v>
      </c>
      <c r="L6" s="2">
        <v>1585.1</v>
      </c>
      <c r="M6" s="2">
        <f t="shared" ref="M6:M69" si="2">(L6-L5)/L5</f>
        <v>-5.1153302997019243E-3</v>
      </c>
      <c r="N6" s="2">
        <f>N5*(1+M6)</f>
        <v>13.469742033383916</v>
      </c>
      <c r="O6" s="2"/>
      <c r="P6" s="1">
        <v>45719</v>
      </c>
      <c r="Q6" s="2">
        <v>11775.6</v>
      </c>
      <c r="R6">
        <f t="shared" ref="R6:R69" si="3">(Q6-Q5)/Q5</f>
        <v>-1.425181129848441E-2</v>
      </c>
      <c r="S6">
        <f>S5*(1+R6)</f>
        <v>19.973797715781142</v>
      </c>
      <c r="U6" s="1">
        <v>45719</v>
      </c>
      <c r="V6" s="2">
        <v>10340.799999999999</v>
      </c>
      <c r="W6">
        <f t="shared" ref="W6:W69" si="4">(V6-V5)/V5</f>
        <v>2.0965695639510343E-2</v>
      </c>
      <c r="X6">
        <f>X5*(1+W6)</f>
        <v>21.775002033950219</v>
      </c>
      <c r="Z6" s="2">
        <f>D6+I6+N6+S6+X6</f>
        <v>97.364182917077486</v>
      </c>
      <c r="AA6" s="3">
        <f>Z6/Z5-1</f>
        <v>5.4794233077894994E-3</v>
      </c>
    </row>
    <row r="7" spans="1:30" x14ac:dyDescent="0.3">
      <c r="A7" s="1">
        <v>45720</v>
      </c>
      <c r="B7" s="2">
        <v>1688.3</v>
      </c>
      <c r="C7" s="4">
        <f t="shared" si="0"/>
        <v>-1.1881072222872501E-2</v>
      </c>
      <c r="D7" s="4">
        <f t="shared" ref="D7:D70" si="5">D6*(1+C7)</f>
        <v>16.267698237261239</v>
      </c>
      <c r="E7" s="4"/>
      <c r="F7" s="1">
        <v>45720</v>
      </c>
      <c r="G7">
        <v>716.05</v>
      </c>
      <c r="H7">
        <f t="shared" si="1"/>
        <v>2.9843233136775494E-2</v>
      </c>
      <c r="I7">
        <f t="shared" ref="I7:I70" si="6">I6*(1+H7)</f>
        <v>26.448785338826536</v>
      </c>
      <c r="K7" s="1">
        <v>45720</v>
      </c>
      <c r="L7" s="2">
        <v>1566.5</v>
      </c>
      <c r="M7" s="2">
        <f t="shared" si="2"/>
        <v>-1.1734275440035273E-2</v>
      </c>
      <c r="N7" s="2">
        <f t="shared" ref="N7:N70" si="7">N6*(1+M7)</f>
        <v>13.31168437025797</v>
      </c>
      <c r="O7" s="2"/>
      <c r="P7" s="1">
        <v>45720</v>
      </c>
      <c r="Q7" s="2">
        <v>11616.25</v>
      </c>
      <c r="R7">
        <f t="shared" si="3"/>
        <v>-1.3532219165053191E-2</v>
      </c>
      <c r="S7">
        <f t="shared" ref="S7:S70" si="8">S6*(1+R7)</f>
        <v>19.703507907532753</v>
      </c>
      <c r="U7" s="1">
        <v>45720</v>
      </c>
      <c r="V7" s="2">
        <v>10370.1</v>
      </c>
      <c r="W7">
        <f t="shared" si="4"/>
        <v>2.8334364846047786E-3</v>
      </c>
      <c r="X7">
        <f t="shared" ref="X7:X70" si="9">X6*(1+W7)</f>
        <v>21.836700119165556</v>
      </c>
      <c r="Z7" s="2">
        <f t="shared" ref="Z7:Z70" si="10">D7+I7+N7+S7+X7</f>
        <v>97.568375973044056</v>
      </c>
      <c r="AA7" s="3">
        <f>Z7/Z6-1</f>
        <v>2.0972091568876028E-3</v>
      </c>
    </row>
    <row r="8" spans="1:30" x14ac:dyDescent="0.3">
      <c r="A8" s="1">
        <v>45721</v>
      </c>
      <c r="B8" s="2">
        <v>1711.5</v>
      </c>
      <c r="C8" s="4">
        <f t="shared" si="0"/>
        <v>1.3741633595924922E-2</v>
      </c>
      <c r="D8" s="4">
        <f t="shared" si="5"/>
        <v>16.491242985886757</v>
      </c>
      <c r="E8" s="4"/>
      <c r="F8" s="1">
        <v>45721</v>
      </c>
      <c r="G8">
        <v>730.35</v>
      </c>
      <c r="H8">
        <f t="shared" si="1"/>
        <v>1.997067243907558E-2</v>
      </c>
      <c r="I8">
        <f t="shared" si="6"/>
        <v>26.976985367239664</v>
      </c>
      <c r="K8" s="1">
        <v>45721</v>
      </c>
      <c r="L8" s="2">
        <v>1582.45</v>
      </c>
      <c r="M8" s="2">
        <f t="shared" si="2"/>
        <v>1.018193424832432E-2</v>
      </c>
      <c r="N8" s="2">
        <f t="shared" si="7"/>
        <v>13.447223065250382</v>
      </c>
      <c r="O8" s="2"/>
      <c r="P8" s="1">
        <v>45721</v>
      </c>
      <c r="Q8" s="2">
        <v>11617.35</v>
      </c>
      <c r="R8">
        <f t="shared" si="3"/>
        <v>9.4694931669029494E-5</v>
      </c>
      <c r="S8">
        <f t="shared" si="8"/>
        <v>19.705373729867699</v>
      </c>
      <c r="U8" s="1">
        <v>45721</v>
      </c>
      <c r="V8" s="2">
        <v>10464.200000000001</v>
      </c>
      <c r="W8">
        <f t="shared" si="4"/>
        <v>9.074165147877105E-3</v>
      </c>
      <c r="X8">
        <f t="shared" si="9"/>
        <v>22.034849942331533</v>
      </c>
      <c r="Z8" s="2">
        <f t="shared" si="10"/>
        <v>98.65567509057604</v>
      </c>
      <c r="AA8" s="3">
        <f t="shared" ref="AA8:AA69" si="11">Z8/Z7-1</f>
        <v>1.1143970643032741E-2</v>
      </c>
    </row>
    <row r="9" spans="1:30" x14ac:dyDescent="0.3">
      <c r="A9" s="1">
        <v>45722</v>
      </c>
      <c r="B9" s="2">
        <v>1715.85</v>
      </c>
      <c r="C9" s="4">
        <f t="shared" si="0"/>
        <v>2.5416301489920592E-3</v>
      </c>
      <c r="D9" s="4">
        <f t="shared" si="5"/>
        <v>16.533157626254038</v>
      </c>
      <c r="E9" s="4"/>
      <c r="F9" s="1">
        <v>45722</v>
      </c>
      <c r="G9">
        <v>732.05</v>
      </c>
      <c r="H9">
        <f t="shared" si="1"/>
        <v>2.3276511261722897E-3</v>
      </c>
      <c r="I9">
        <f t="shared" si="6"/>
        <v>27.039778377610453</v>
      </c>
      <c r="K9" s="1">
        <v>45722</v>
      </c>
      <c r="L9" s="2">
        <v>1614</v>
      </c>
      <c r="M9" s="2">
        <f t="shared" si="2"/>
        <v>1.9937438781636042E-2</v>
      </c>
      <c r="N9" s="2">
        <f t="shared" si="7"/>
        <v>13.715326251896816</v>
      </c>
      <c r="O9" s="2"/>
      <c r="P9" s="1">
        <v>45722</v>
      </c>
      <c r="Q9" s="2">
        <v>11666.4</v>
      </c>
      <c r="R9">
        <f t="shared" si="3"/>
        <v>4.2221332748001283E-3</v>
      </c>
      <c r="S9">
        <f t="shared" si="8"/>
        <v>19.788572443984943</v>
      </c>
      <c r="U9" s="1">
        <v>45722</v>
      </c>
      <c r="V9" s="2">
        <v>10493.5</v>
      </c>
      <c r="W9">
        <f t="shared" si="4"/>
        <v>2.80002293534138E-3</v>
      </c>
      <c r="X9">
        <f t="shared" si="9"/>
        <v>22.096548027546866</v>
      </c>
      <c r="Z9" s="2">
        <f t="shared" si="10"/>
        <v>99.173382727293131</v>
      </c>
      <c r="AA9" s="3">
        <f t="shared" si="11"/>
        <v>5.2476214494683315E-3</v>
      </c>
    </row>
    <row r="10" spans="1:30" x14ac:dyDescent="0.3">
      <c r="A10" s="1">
        <v>45723</v>
      </c>
      <c r="B10" s="2">
        <v>1686</v>
      </c>
      <c r="C10" s="4">
        <f t="shared" si="0"/>
        <v>-1.7396625579158966E-2</v>
      </c>
      <c r="D10" s="4">
        <f t="shared" si="5"/>
        <v>16.245536473388878</v>
      </c>
      <c r="E10" s="4"/>
      <c r="F10" s="1">
        <v>45723</v>
      </c>
      <c r="G10">
        <v>732.75</v>
      </c>
      <c r="H10">
        <f t="shared" si="1"/>
        <v>9.5621883751116112E-4</v>
      </c>
      <c r="I10">
        <f t="shared" si="6"/>
        <v>27.065634323057253</v>
      </c>
      <c r="K10" s="1">
        <v>45723</v>
      </c>
      <c r="L10" s="2">
        <v>1609.3</v>
      </c>
      <c r="M10" s="2">
        <f t="shared" si="2"/>
        <v>-2.912019826517996E-3</v>
      </c>
      <c r="N10" s="2">
        <f t="shared" si="7"/>
        <v>13.675386949924128</v>
      </c>
      <c r="O10" s="2"/>
      <c r="P10" s="1">
        <v>45723</v>
      </c>
      <c r="Q10" s="2">
        <v>11664.15</v>
      </c>
      <c r="R10">
        <f t="shared" si="3"/>
        <v>-1.9286155112116849E-4</v>
      </c>
      <c r="S10">
        <f t="shared" si="8"/>
        <v>19.784755989208922</v>
      </c>
      <c r="U10" s="1">
        <v>45723</v>
      </c>
      <c r="V10" s="2">
        <v>10582.4</v>
      </c>
      <c r="W10">
        <f t="shared" si="4"/>
        <v>8.4719111831133218E-3</v>
      </c>
      <c r="X10">
        <f t="shared" si="9"/>
        <v>22.283748019889639</v>
      </c>
      <c r="Z10" s="2">
        <f t="shared" si="10"/>
        <v>99.055061755468827</v>
      </c>
      <c r="AA10" s="3">
        <f t="shared" si="11"/>
        <v>-1.1930718562829234E-3</v>
      </c>
    </row>
    <row r="11" spans="1:30" x14ac:dyDescent="0.3">
      <c r="A11" s="1">
        <v>45726</v>
      </c>
      <c r="B11" s="2">
        <v>1701.45</v>
      </c>
      <c r="C11" s="4">
        <f t="shared" si="0"/>
        <v>9.1637010676156854E-3</v>
      </c>
      <c r="D11" s="4">
        <f t="shared" si="5"/>
        <v>16.394405713314061</v>
      </c>
      <c r="E11" s="4"/>
      <c r="F11" s="1">
        <v>45726</v>
      </c>
      <c r="G11">
        <v>728.9</v>
      </c>
      <c r="H11">
        <f t="shared" si="1"/>
        <v>-5.2541794609348652E-3</v>
      </c>
      <c r="I11">
        <f t="shared" si="6"/>
        <v>26.923426623099871</v>
      </c>
      <c r="K11" s="1">
        <v>45726</v>
      </c>
      <c r="L11" s="2">
        <v>1611.5</v>
      </c>
      <c r="M11" s="2">
        <f t="shared" si="2"/>
        <v>1.3670539986329743E-3</v>
      </c>
      <c r="N11" s="2">
        <f t="shared" si="7"/>
        <v>13.694081942336876</v>
      </c>
      <c r="O11" s="2"/>
      <c r="P11" s="1">
        <v>45726</v>
      </c>
      <c r="Q11" s="2">
        <v>11586.05</v>
      </c>
      <c r="R11">
        <f t="shared" si="3"/>
        <v>-6.6957300789170547E-3</v>
      </c>
      <c r="S11">
        <f t="shared" si="8"/>
        <v>19.652282603427938</v>
      </c>
      <c r="U11" s="1">
        <v>45726</v>
      </c>
      <c r="V11" s="2">
        <v>10520.1</v>
      </c>
      <c r="W11">
        <f t="shared" si="4"/>
        <v>-5.8871333534925227E-3</v>
      </c>
      <c r="X11">
        <f t="shared" si="9"/>
        <v>22.152560623680923</v>
      </c>
      <c r="Z11" s="2">
        <f t="shared" si="10"/>
        <v>98.81675750585967</v>
      </c>
      <c r="AA11" s="3">
        <f t="shared" si="11"/>
        <v>-2.4057755897164412E-3</v>
      </c>
    </row>
    <row r="12" spans="1:30" x14ac:dyDescent="0.3">
      <c r="A12" s="1">
        <v>45727</v>
      </c>
      <c r="B12" s="2">
        <v>1657</v>
      </c>
      <c r="C12" s="4">
        <f t="shared" si="0"/>
        <v>-2.6124775926415732E-2</v>
      </c>
      <c r="D12" s="4">
        <f t="shared" si="5"/>
        <v>15.966105537606982</v>
      </c>
      <c r="E12" s="4"/>
      <c r="F12" s="1">
        <v>45727</v>
      </c>
      <c r="G12">
        <v>729.85</v>
      </c>
      <c r="H12">
        <f t="shared" si="1"/>
        <v>1.3033337906434978E-3</v>
      </c>
      <c r="I12">
        <f t="shared" si="6"/>
        <v>26.958516834777665</v>
      </c>
      <c r="K12" s="1">
        <v>45727</v>
      </c>
      <c r="L12" s="2">
        <v>1655.3</v>
      </c>
      <c r="M12" s="2">
        <f t="shared" si="2"/>
        <v>2.7179646292274252E-2</v>
      </c>
      <c r="N12" s="2">
        <f t="shared" si="7"/>
        <v>14.066282245827011</v>
      </c>
      <c r="O12" s="2"/>
      <c r="P12" s="1">
        <v>45727</v>
      </c>
      <c r="Q12" s="2">
        <v>11646.95</v>
      </c>
      <c r="R12">
        <f t="shared" si="3"/>
        <v>5.2563211793494298E-3</v>
      </c>
      <c r="S12">
        <f t="shared" si="8"/>
        <v>19.755581312698897</v>
      </c>
      <c r="U12" s="1">
        <v>45727</v>
      </c>
      <c r="V12" s="2">
        <v>10439.25</v>
      </c>
      <c r="W12">
        <f t="shared" si="4"/>
        <v>-7.6852881626600852E-3</v>
      </c>
      <c r="X12">
        <f t="shared" si="9"/>
        <v>21.982311811747138</v>
      </c>
      <c r="Z12" s="2">
        <f t="shared" si="10"/>
        <v>98.72879774265769</v>
      </c>
      <c r="AA12" s="3">
        <f t="shared" si="11"/>
        <v>-8.9013002877336156E-4</v>
      </c>
    </row>
    <row r="13" spans="1:30" x14ac:dyDescent="0.3">
      <c r="A13" s="1">
        <v>45727</v>
      </c>
      <c r="B13" s="2">
        <v>1661.6</v>
      </c>
      <c r="C13" s="4">
        <f t="shared" si="0"/>
        <v>2.7761013880506389E-3</v>
      </c>
      <c r="D13" s="4">
        <f t="shared" si="5"/>
        <v>16.010429065351698</v>
      </c>
      <c r="E13" s="4"/>
      <c r="F13" s="1">
        <v>45728</v>
      </c>
      <c r="G13">
        <v>723.05</v>
      </c>
      <c r="H13">
        <f t="shared" si="1"/>
        <v>-9.316982941700443E-3</v>
      </c>
      <c r="I13">
        <f t="shared" si="6"/>
        <v>26.707344793294496</v>
      </c>
      <c r="K13" s="1">
        <v>45728</v>
      </c>
      <c r="L13" s="2">
        <v>1676.85</v>
      </c>
      <c r="M13" s="2">
        <f t="shared" si="2"/>
        <v>1.3018788135081227E-2</v>
      </c>
      <c r="N13" s="2">
        <f t="shared" si="7"/>
        <v>14.249408194233688</v>
      </c>
      <c r="O13" s="2"/>
      <c r="P13" s="1">
        <v>45728</v>
      </c>
      <c r="Q13" s="2">
        <v>11640.1</v>
      </c>
      <c r="R13">
        <f t="shared" si="3"/>
        <v>-5.8813680834899804E-4</v>
      </c>
      <c r="S13">
        <f t="shared" si="8"/>
        <v>19.743962328158567</v>
      </c>
      <c r="U13" s="1">
        <v>45728</v>
      </c>
      <c r="V13" s="2">
        <v>10520.4</v>
      </c>
      <c r="W13">
        <f t="shared" si="4"/>
        <v>7.7735469502119058E-3</v>
      </c>
      <c r="X13">
        <f t="shared" si="9"/>
        <v>22.153192344689952</v>
      </c>
      <c r="Z13" s="2">
        <f t="shared" si="10"/>
        <v>98.864336725728407</v>
      </c>
      <c r="AA13" s="3">
        <f t="shared" si="11"/>
        <v>1.3728414218514562E-3</v>
      </c>
    </row>
    <row r="14" spans="1:30" x14ac:dyDescent="0.3">
      <c r="A14" s="1">
        <v>45728</v>
      </c>
      <c r="B14" s="2">
        <v>1574</v>
      </c>
      <c r="C14" s="4">
        <f t="shared" si="0"/>
        <v>-5.2720269619643663E-2</v>
      </c>
      <c r="D14" s="4">
        <f t="shared" si="5"/>
        <v>15.166354928300176</v>
      </c>
      <c r="E14" s="4"/>
      <c r="F14" s="1">
        <v>45729</v>
      </c>
      <c r="G14">
        <v>727.85</v>
      </c>
      <c r="H14">
        <f t="shared" si="1"/>
        <v>6.6385450522094859E-3</v>
      </c>
      <c r="I14">
        <f t="shared" si="6"/>
        <v>26.884642704929675</v>
      </c>
      <c r="K14" s="1">
        <v>45729</v>
      </c>
      <c r="L14" s="2">
        <v>1683.45</v>
      </c>
      <c r="M14" s="2">
        <f t="shared" si="2"/>
        <v>3.9359513373290016E-3</v>
      </c>
      <c r="N14" s="2">
        <f t="shared" si="7"/>
        <v>14.305493171471928</v>
      </c>
      <c r="O14" s="2"/>
      <c r="P14" s="1">
        <v>45729</v>
      </c>
      <c r="Q14" s="2">
        <v>11513.8</v>
      </c>
      <c r="R14">
        <f t="shared" si="3"/>
        <v>-1.0850422247231647E-2</v>
      </c>
      <c r="S14">
        <f t="shared" si="8"/>
        <v>19.529732000064612</v>
      </c>
      <c r="U14" s="1">
        <v>45729</v>
      </c>
      <c r="V14" s="2">
        <v>10452.1</v>
      </c>
      <c r="W14">
        <f t="shared" si="4"/>
        <v>-6.4921485875061094E-3</v>
      </c>
      <c r="X14">
        <f t="shared" si="9"/>
        <v>22.009370528300622</v>
      </c>
      <c r="Z14" s="2">
        <f t="shared" si="10"/>
        <v>97.895593333067012</v>
      </c>
      <c r="AA14" s="3">
        <f t="shared" si="11"/>
        <v>-9.7987143265716448E-3</v>
      </c>
    </row>
    <row r="15" spans="1:30" x14ac:dyDescent="0.3">
      <c r="A15" s="1">
        <v>45728</v>
      </c>
      <c r="B15" s="2">
        <v>1590.85</v>
      </c>
      <c r="C15" s="4">
        <f t="shared" si="0"/>
        <v>1.0705209656924975E-2</v>
      </c>
      <c r="D15" s="4">
        <f t="shared" si="5"/>
        <v>15.328713937538966</v>
      </c>
      <c r="E15" s="4"/>
      <c r="F15" s="1">
        <v>45733</v>
      </c>
      <c r="G15">
        <v>723.15</v>
      </c>
      <c r="H15">
        <f t="shared" si="1"/>
        <v>-6.4573744590232128E-3</v>
      </c>
      <c r="I15">
        <f t="shared" si="6"/>
        <v>26.711038499786898</v>
      </c>
      <c r="K15" s="1">
        <v>45733</v>
      </c>
      <c r="L15" s="2">
        <v>1704.3</v>
      </c>
      <c r="M15" s="2">
        <f t="shared" si="2"/>
        <v>1.2385280228102948E-2</v>
      </c>
      <c r="N15" s="2">
        <f t="shared" si="7"/>
        <v>14.482670713201824</v>
      </c>
      <c r="O15" s="2"/>
      <c r="P15" s="1">
        <v>45733</v>
      </c>
      <c r="Q15" s="2">
        <v>11553.7</v>
      </c>
      <c r="R15">
        <f t="shared" si="3"/>
        <v>3.4654067293162518E-3</v>
      </c>
      <c r="S15">
        <f t="shared" si="8"/>
        <v>19.597410464759381</v>
      </c>
      <c r="U15" s="1">
        <v>45733</v>
      </c>
      <c r="V15" s="2">
        <v>10547.1</v>
      </c>
      <c r="W15">
        <f t="shared" si="4"/>
        <v>9.0890825767070728E-3</v>
      </c>
      <c r="X15">
        <f t="shared" si="9"/>
        <v>22.209415514493692</v>
      </c>
      <c r="Z15" s="2">
        <f t="shared" si="10"/>
        <v>98.329249129780749</v>
      </c>
      <c r="AA15" s="3">
        <f t="shared" si="11"/>
        <v>4.4297785216780294E-3</v>
      </c>
    </row>
    <row r="16" spans="1:30" x14ac:dyDescent="0.3">
      <c r="A16" s="1">
        <v>45729</v>
      </c>
      <c r="B16" s="2">
        <v>1579.85</v>
      </c>
      <c r="C16" s="4">
        <f t="shared" si="0"/>
        <v>-6.9145425401514913E-3</v>
      </c>
      <c r="D16" s="4">
        <f t="shared" si="5"/>
        <v>15.22272289293204</v>
      </c>
      <c r="E16" s="4"/>
      <c r="F16" s="1">
        <v>45734</v>
      </c>
      <c r="G16">
        <v>736.7</v>
      </c>
      <c r="H16">
        <f t="shared" si="1"/>
        <v>1.873746802184895E-2</v>
      </c>
      <c r="I16">
        <f t="shared" si="6"/>
        <v>27.211535729507034</v>
      </c>
      <c r="K16" s="1">
        <v>45734</v>
      </c>
      <c r="L16" s="2">
        <v>1747.8</v>
      </c>
      <c r="M16" s="2">
        <f t="shared" si="2"/>
        <v>2.5523675409258935E-2</v>
      </c>
      <c r="N16" s="2">
        <f t="shared" si="7"/>
        <v>14.852321699544767</v>
      </c>
      <c r="O16" s="2"/>
      <c r="P16" s="1">
        <v>45734</v>
      </c>
      <c r="Q16" s="2">
        <v>11714.55</v>
      </c>
      <c r="R16">
        <f t="shared" si="3"/>
        <v>1.392194708188706E-2</v>
      </c>
      <c r="S16">
        <f t="shared" si="8"/>
        <v>19.87024457619178</v>
      </c>
      <c r="U16" s="1">
        <v>45734</v>
      </c>
      <c r="V16" s="2">
        <v>10698.1</v>
      </c>
      <c r="W16">
        <f t="shared" si="4"/>
        <v>1.4316731613429284E-2</v>
      </c>
      <c r="X16">
        <f t="shared" si="9"/>
        <v>22.527381755705832</v>
      </c>
      <c r="Z16" s="2">
        <f t="shared" si="10"/>
        <v>99.684206653881446</v>
      </c>
      <c r="AA16" s="3">
        <f t="shared" si="11"/>
        <v>1.377980139268975E-2</v>
      </c>
    </row>
    <row r="17" spans="1:27" x14ac:dyDescent="0.3">
      <c r="A17" s="1">
        <v>45733</v>
      </c>
      <c r="B17" s="2">
        <v>1590.05</v>
      </c>
      <c r="C17" s="4">
        <f t="shared" si="0"/>
        <v>6.4563091432731246E-3</v>
      </c>
      <c r="D17" s="4">
        <f t="shared" si="5"/>
        <v>15.321005497931193</v>
      </c>
      <c r="E17" s="4"/>
      <c r="F17" s="1">
        <v>45735</v>
      </c>
      <c r="G17">
        <v>745.1</v>
      </c>
      <c r="H17">
        <f t="shared" si="1"/>
        <v>1.1402198995520533E-2</v>
      </c>
      <c r="I17">
        <f t="shared" si="6"/>
        <v>27.521807074868594</v>
      </c>
      <c r="K17" s="1">
        <v>45735</v>
      </c>
      <c r="L17" s="2">
        <v>1732.35</v>
      </c>
      <c r="M17" s="2">
        <f t="shared" si="2"/>
        <v>-8.8396841743906881E-3</v>
      </c>
      <c r="N17" s="2">
        <f t="shared" si="7"/>
        <v>14.72103186646434</v>
      </c>
      <c r="O17" s="2"/>
      <c r="P17" s="1">
        <v>45735</v>
      </c>
      <c r="Q17" s="2">
        <v>11615.55</v>
      </c>
      <c r="R17">
        <f t="shared" si="3"/>
        <v>-8.4510288487393889E-3</v>
      </c>
      <c r="S17">
        <f t="shared" si="8"/>
        <v>19.702320566046875</v>
      </c>
      <c r="U17" s="1">
        <v>45735</v>
      </c>
      <c r="V17" s="2">
        <v>10933.25</v>
      </c>
      <c r="W17">
        <f t="shared" si="4"/>
        <v>2.1980538600312169E-2</v>
      </c>
      <c r="X17">
        <f t="shared" si="9"/>
        <v>23.022545739951095</v>
      </c>
      <c r="Z17" s="2">
        <f t="shared" si="10"/>
        <v>100.28871074526211</v>
      </c>
      <c r="AA17" s="3">
        <f t="shared" si="11"/>
        <v>6.0641912261949482E-3</v>
      </c>
    </row>
    <row r="18" spans="1:27" x14ac:dyDescent="0.3">
      <c r="A18" s="1">
        <v>45734</v>
      </c>
      <c r="B18" s="2">
        <v>1609.35</v>
      </c>
      <c r="C18" s="4">
        <f t="shared" si="0"/>
        <v>1.2137983082292981E-2</v>
      </c>
      <c r="D18" s="4">
        <f t="shared" si="5"/>
        <v>15.506971603468799</v>
      </c>
      <c r="E18" s="4"/>
      <c r="F18" s="1">
        <v>45736</v>
      </c>
      <c r="G18">
        <v>749.55</v>
      </c>
      <c r="H18">
        <f t="shared" si="1"/>
        <v>5.972352704334897E-3</v>
      </c>
      <c r="I18">
        <f t="shared" si="6"/>
        <v>27.68617701378037</v>
      </c>
      <c r="K18" s="1">
        <v>45736</v>
      </c>
      <c r="L18" s="2">
        <v>1750.25</v>
      </c>
      <c r="M18" s="2">
        <f t="shared" si="2"/>
        <v>1.0332784945305562E-2</v>
      </c>
      <c r="N18" s="2">
        <f t="shared" si="7"/>
        <v>14.873141122913507</v>
      </c>
      <c r="O18" s="2"/>
      <c r="P18" s="1">
        <v>45736</v>
      </c>
      <c r="Q18" s="2">
        <v>11730.2</v>
      </c>
      <c r="R18">
        <f t="shared" si="3"/>
        <v>9.8703892626695652E-3</v>
      </c>
      <c r="S18">
        <f t="shared" si="8"/>
        <v>19.896790139411657</v>
      </c>
      <c r="U18" s="1">
        <v>45736</v>
      </c>
      <c r="V18" s="2">
        <v>10948.15</v>
      </c>
      <c r="W18">
        <f t="shared" si="4"/>
        <v>1.3628152653602211E-3</v>
      </c>
      <c r="X18">
        <f t="shared" si="9"/>
        <v>23.053921216732952</v>
      </c>
      <c r="Z18" s="2">
        <f t="shared" si="10"/>
        <v>101.0170010963073</v>
      </c>
      <c r="AA18" s="3">
        <f t="shared" si="11"/>
        <v>7.2619375165274835E-3</v>
      </c>
    </row>
    <row r="19" spans="1:27" x14ac:dyDescent="0.3">
      <c r="A19" s="1">
        <v>45735</v>
      </c>
      <c r="B19" s="2">
        <v>1586.55</v>
      </c>
      <c r="C19" s="4">
        <f t="shared" si="0"/>
        <v>-1.4167210364432819E-2</v>
      </c>
      <c r="D19" s="4">
        <f t="shared" si="5"/>
        <v>15.28728107464717</v>
      </c>
      <c r="E19" s="4"/>
      <c r="F19" s="1">
        <v>45737</v>
      </c>
      <c r="G19">
        <v>753.2</v>
      </c>
      <c r="H19">
        <f t="shared" si="1"/>
        <v>4.8695884197186195E-3</v>
      </c>
      <c r="I19">
        <f t="shared" si="6"/>
        <v>27.82099730075295</v>
      </c>
      <c r="K19" s="1">
        <v>45737</v>
      </c>
      <c r="L19" s="2">
        <v>1784.5</v>
      </c>
      <c r="M19" s="2">
        <f t="shared" si="2"/>
        <v>1.9568633052421083E-2</v>
      </c>
      <c r="N19" s="2">
        <f t="shared" si="7"/>
        <v>15.164188163884678</v>
      </c>
      <c r="O19" s="2"/>
      <c r="P19" s="1">
        <v>45737</v>
      </c>
      <c r="Q19" s="2">
        <v>11732.8</v>
      </c>
      <c r="R19">
        <f t="shared" si="3"/>
        <v>2.2165009974242081E-4</v>
      </c>
      <c r="S19">
        <f t="shared" si="8"/>
        <v>19.901200264930612</v>
      </c>
      <c r="U19" s="1">
        <v>45737</v>
      </c>
      <c r="V19" s="2">
        <v>10976.75</v>
      </c>
      <c r="W19">
        <f t="shared" si="4"/>
        <v>2.6123134958874663E-3</v>
      </c>
      <c r="X19">
        <f t="shared" si="9"/>
        <v>23.114145286260552</v>
      </c>
      <c r="Z19" s="2">
        <f t="shared" si="10"/>
        <v>101.28781209047595</v>
      </c>
      <c r="AA19" s="3">
        <f t="shared" si="11"/>
        <v>2.6808457114111395E-3</v>
      </c>
    </row>
    <row r="20" spans="1:27" x14ac:dyDescent="0.3">
      <c r="A20" s="1">
        <v>45736</v>
      </c>
      <c r="B20" s="2">
        <v>1615.55</v>
      </c>
      <c r="C20" s="4">
        <f t="shared" si="0"/>
        <v>1.8278654943115567E-2</v>
      </c>
      <c r="D20" s="4">
        <f t="shared" si="5"/>
        <v>15.566712010429066</v>
      </c>
      <c r="E20" s="4"/>
      <c r="F20" s="1">
        <v>45740</v>
      </c>
      <c r="G20">
        <v>780.8</v>
      </c>
      <c r="H20">
        <f t="shared" si="1"/>
        <v>3.6643653744025367E-2</v>
      </c>
      <c r="I20">
        <f t="shared" si="6"/>
        <v>28.840460292655205</v>
      </c>
      <c r="K20" s="1">
        <v>45740</v>
      </c>
      <c r="L20" s="2">
        <v>1784.8</v>
      </c>
      <c r="M20" s="2">
        <f t="shared" si="2"/>
        <v>1.6811431773603504E-4</v>
      </c>
      <c r="N20" s="2">
        <f t="shared" si="7"/>
        <v>15.166737481031872</v>
      </c>
      <c r="O20" s="2"/>
      <c r="P20" s="1">
        <v>45740</v>
      </c>
      <c r="Q20" s="2">
        <v>11922.25</v>
      </c>
      <c r="R20">
        <f t="shared" si="3"/>
        <v>1.6147040774580727E-2</v>
      </c>
      <c r="S20">
        <f t="shared" si="8"/>
        <v>20.222545757071543</v>
      </c>
      <c r="U20" s="1">
        <v>45740</v>
      </c>
      <c r="V20" s="2">
        <v>11051.2</v>
      </c>
      <c r="W20">
        <f t="shared" si="4"/>
        <v>6.7825175940055783E-3</v>
      </c>
      <c r="X20">
        <f t="shared" si="9"/>
        <v>23.270917383335014</v>
      </c>
      <c r="Z20" s="2">
        <f t="shared" si="10"/>
        <v>103.06737292452272</v>
      </c>
      <c r="AA20" s="3">
        <f t="shared" si="11"/>
        <v>1.7569348150764164E-2</v>
      </c>
    </row>
    <row r="21" spans="1:27" x14ac:dyDescent="0.3">
      <c r="A21" s="1">
        <v>45737</v>
      </c>
      <c r="B21" s="2">
        <v>1592.55</v>
      </c>
      <c r="C21" s="4">
        <f t="shared" si="0"/>
        <v>-1.4236637677571107E-2</v>
      </c>
      <c r="D21" s="4">
        <f t="shared" si="5"/>
        <v>15.345094371705493</v>
      </c>
      <c r="E21" s="4"/>
      <c r="F21" s="1">
        <v>45741</v>
      </c>
      <c r="G21">
        <v>772.85</v>
      </c>
      <c r="H21">
        <f t="shared" si="1"/>
        <v>-1.0181864754098274E-2</v>
      </c>
      <c r="I21">
        <f t="shared" si="6"/>
        <v>28.546810626509448</v>
      </c>
      <c r="K21" s="1">
        <v>45741</v>
      </c>
      <c r="L21" s="2">
        <v>1764.75</v>
      </c>
      <c r="M21" s="2">
        <f t="shared" si="2"/>
        <v>-1.1233751680860575E-2</v>
      </c>
      <c r="N21" s="2">
        <f t="shared" si="7"/>
        <v>14.996358118361158</v>
      </c>
      <c r="O21" s="2"/>
      <c r="P21" s="1">
        <v>45741</v>
      </c>
      <c r="Q21" s="2">
        <v>11868.9</v>
      </c>
      <c r="R21">
        <f t="shared" si="3"/>
        <v>-4.4748264799010559E-3</v>
      </c>
      <c r="S21">
        <f t="shared" si="8"/>
        <v>20.132053373826789</v>
      </c>
      <c r="U21" s="1">
        <v>45741</v>
      </c>
      <c r="V21" s="2">
        <v>11421.2</v>
      </c>
      <c r="W21">
        <f t="shared" si="4"/>
        <v>3.3480527001592583E-2</v>
      </c>
      <c r="X21">
        <f t="shared" si="9"/>
        <v>24.050039961139593</v>
      </c>
      <c r="Z21" s="2">
        <f t="shared" si="10"/>
        <v>103.07035645154248</v>
      </c>
      <c r="AA21" s="3">
        <f t="shared" si="11"/>
        <v>2.8947347110008792E-5</v>
      </c>
    </row>
    <row r="22" spans="1:27" x14ac:dyDescent="0.3">
      <c r="A22" s="1">
        <v>45740</v>
      </c>
      <c r="B22" s="2">
        <v>1592.75</v>
      </c>
      <c r="C22" s="4">
        <f t="shared" si="0"/>
        <v>1.2558475401089163E-4</v>
      </c>
      <c r="D22" s="4">
        <f t="shared" si="5"/>
        <v>15.347021481607438</v>
      </c>
      <c r="E22" s="4"/>
      <c r="F22" s="1">
        <v>45742</v>
      </c>
      <c r="G22">
        <v>764</v>
      </c>
      <c r="H22">
        <f t="shared" si="1"/>
        <v>-1.1451122468784398E-2</v>
      </c>
      <c r="I22">
        <f t="shared" si="6"/>
        <v>28.219917601932092</v>
      </c>
      <c r="K22" s="1">
        <v>45742</v>
      </c>
      <c r="L22" s="2">
        <v>1758.95</v>
      </c>
      <c r="M22" s="2">
        <f t="shared" si="2"/>
        <v>-3.2865845020540897E-3</v>
      </c>
      <c r="N22" s="2">
        <f t="shared" si="7"/>
        <v>14.947071320182099</v>
      </c>
      <c r="O22" s="2"/>
      <c r="P22" s="1">
        <v>45742</v>
      </c>
      <c r="Q22" s="2">
        <v>11734.3</v>
      </c>
      <c r="R22">
        <f t="shared" si="3"/>
        <v>-1.134056230990238E-2</v>
      </c>
      <c r="S22">
        <f t="shared" si="8"/>
        <v>19.903744568114629</v>
      </c>
      <c r="U22" s="1">
        <v>45742</v>
      </c>
      <c r="V22" s="2">
        <v>11402.1</v>
      </c>
      <c r="W22">
        <f t="shared" si="4"/>
        <v>-1.6723286519805592E-3</v>
      </c>
      <c r="X22">
        <f t="shared" si="9"/>
        <v>24.009820390231301</v>
      </c>
      <c r="Z22" s="2">
        <f t="shared" si="10"/>
        <v>102.42757536206756</v>
      </c>
      <c r="AA22" s="3">
        <f t="shared" si="11"/>
        <v>-6.2363332349308909E-3</v>
      </c>
    </row>
    <row r="23" spans="1:27" x14ac:dyDescent="0.3">
      <c r="A23" s="1">
        <v>45741</v>
      </c>
      <c r="B23" s="2">
        <v>1628.45</v>
      </c>
      <c r="C23" s="4">
        <f t="shared" si="0"/>
        <v>2.2414063726259644E-2</v>
      </c>
      <c r="D23" s="4">
        <f t="shared" si="5"/>
        <v>15.691010599104461</v>
      </c>
      <c r="E23" s="4"/>
      <c r="F23" s="1">
        <v>45743</v>
      </c>
      <c r="G23">
        <v>772.3</v>
      </c>
      <c r="H23">
        <f t="shared" si="1"/>
        <v>1.0863874345549678E-2</v>
      </c>
      <c r="I23">
        <f t="shared" si="6"/>
        <v>28.526495240801246</v>
      </c>
      <c r="K23" s="1">
        <v>45743</v>
      </c>
      <c r="L23" s="2">
        <v>1731.45</v>
      </c>
      <c r="M23" s="2">
        <f t="shared" si="2"/>
        <v>-1.5634327297535461E-2</v>
      </c>
      <c r="N23" s="2">
        <f t="shared" si="7"/>
        <v>14.713383915022767</v>
      </c>
      <c r="O23" s="2"/>
      <c r="P23" s="1">
        <v>45743</v>
      </c>
      <c r="Q23" s="2">
        <v>11721.95</v>
      </c>
      <c r="R23">
        <f t="shared" si="3"/>
        <v>-1.0524701089965781E-3</v>
      </c>
      <c r="S23">
        <f t="shared" si="8"/>
        <v>19.882796471899585</v>
      </c>
      <c r="U23" s="1">
        <v>45743</v>
      </c>
      <c r="V23" s="2">
        <v>11599.6</v>
      </c>
      <c r="W23">
        <f t="shared" si="4"/>
        <v>1.7321370624709481E-2</v>
      </c>
      <c r="X23">
        <f t="shared" si="9"/>
        <v>24.425703387843203</v>
      </c>
      <c r="Z23" s="2">
        <f t="shared" si="10"/>
        <v>103.23938961467125</v>
      </c>
      <c r="AA23" s="3">
        <f t="shared" si="11"/>
        <v>7.9257392331513188E-3</v>
      </c>
    </row>
    <row r="24" spans="1:27" x14ac:dyDescent="0.3">
      <c r="A24" s="1">
        <v>45742</v>
      </c>
      <c r="B24" s="2">
        <v>1599.45</v>
      </c>
      <c r="C24" s="4">
        <f t="shared" si="0"/>
        <v>-1.780834535908379E-2</v>
      </c>
      <c r="D24" s="4">
        <f t="shared" si="5"/>
        <v>15.411579663322563</v>
      </c>
      <c r="E24" s="4"/>
      <c r="F24" s="1">
        <v>45744</v>
      </c>
      <c r="G24">
        <v>771.5</v>
      </c>
      <c r="H24">
        <f t="shared" si="1"/>
        <v>-1.0358668911044343E-3</v>
      </c>
      <c r="I24">
        <f t="shared" si="6"/>
        <v>28.496945588862051</v>
      </c>
      <c r="K24" s="1">
        <v>45744</v>
      </c>
      <c r="L24" s="2">
        <v>1734.7</v>
      </c>
      <c r="M24" s="2">
        <f t="shared" si="2"/>
        <v>1.8770394755840481E-3</v>
      </c>
      <c r="N24" s="2">
        <f t="shared" si="7"/>
        <v>14.741001517450687</v>
      </c>
      <c r="O24" s="2"/>
      <c r="P24" s="1">
        <v>45744</v>
      </c>
      <c r="Q24" s="2">
        <v>11522.15</v>
      </c>
      <c r="R24">
        <f t="shared" si="3"/>
        <v>-1.7044945593523354E-2</v>
      </c>
      <c r="S24">
        <f t="shared" si="8"/>
        <v>19.54389528778896</v>
      </c>
      <c r="U24" s="1">
        <v>45744</v>
      </c>
      <c r="V24" s="2">
        <v>11509.55</v>
      </c>
      <c r="W24">
        <f t="shared" si="4"/>
        <v>-7.763198730990818E-3</v>
      </c>
      <c r="X24">
        <f t="shared" si="9"/>
        <v>24.236081798299139</v>
      </c>
      <c r="Z24" s="2">
        <f t="shared" si="10"/>
        <v>102.4295038557234</v>
      </c>
      <c r="AA24" s="3">
        <f t="shared" si="11"/>
        <v>-7.8447360253742771E-3</v>
      </c>
    </row>
    <row r="25" spans="1:27" x14ac:dyDescent="0.3">
      <c r="A25" s="1">
        <v>45743</v>
      </c>
      <c r="B25" s="2">
        <v>1603.55</v>
      </c>
      <c r="C25" s="4">
        <f t="shared" si="0"/>
        <v>2.5633811622744751E-3</v>
      </c>
      <c r="D25" s="4">
        <f t="shared" si="5"/>
        <v>15.451085416312416</v>
      </c>
      <c r="E25" s="4"/>
      <c r="F25" s="1">
        <v>45748</v>
      </c>
      <c r="G25">
        <v>771.7</v>
      </c>
      <c r="H25">
        <f t="shared" si="1"/>
        <v>2.5923525599487425E-4</v>
      </c>
      <c r="I25">
        <f t="shared" si="6"/>
        <v>28.504333001846852</v>
      </c>
      <c r="K25" s="1">
        <v>45748</v>
      </c>
      <c r="L25" s="2">
        <v>1698.35</v>
      </c>
      <c r="M25" s="2">
        <f t="shared" si="2"/>
        <v>-2.095463192482858E-2</v>
      </c>
      <c r="N25" s="2">
        <f t="shared" si="7"/>
        <v>14.432109256449168</v>
      </c>
      <c r="O25" s="2"/>
      <c r="P25" s="1">
        <v>45748</v>
      </c>
      <c r="Q25" s="2">
        <v>11481.1</v>
      </c>
      <c r="R25">
        <f t="shared" si="3"/>
        <v>-3.5627031413407459E-3</v>
      </c>
      <c r="S25">
        <f t="shared" si="8"/>
        <v>19.474266190653118</v>
      </c>
      <c r="U25" s="1">
        <v>45748</v>
      </c>
      <c r="V25" s="2">
        <v>11378.65</v>
      </c>
      <c r="W25">
        <f t="shared" si="4"/>
        <v>-1.1373164024657753E-2</v>
      </c>
      <c r="X25">
        <f t="shared" si="9"/>
        <v>23.96044086469206</v>
      </c>
      <c r="Z25" s="2">
        <f t="shared" si="10"/>
        <v>101.82223472995361</v>
      </c>
      <c r="AA25" s="3">
        <f t="shared" si="11"/>
        <v>-5.9286543711580819E-3</v>
      </c>
    </row>
    <row r="26" spans="1:27" x14ac:dyDescent="0.3">
      <c r="A26" s="1">
        <v>45744</v>
      </c>
      <c r="B26" s="2">
        <v>1570.65</v>
      </c>
      <c r="C26" s="4">
        <f t="shared" si="0"/>
        <v>-2.05169779551619E-2</v>
      </c>
      <c r="D26" s="4">
        <f t="shared" si="5"/>
        <v>15.134075837442611</v>
      </c>
      <c r="E26" s="4"/>
      <c r="F26" s="1">
        <v>45749</v>
      </c>
      <c r="G26">
        <v>775.95</v>
      </c>
      <c r="H26">
        <f t="shared" si="1"/>
        <v>5.5073214979914475E-3</v>
      </c>
      <c r="I26">
        <f t="shared" si="6"/>
        <v>28.661315527773834</v>
      </c>
      <c r="K26" s="1">
        <v>45749</v>
      </c>
      <c r="L26" s="2">
        <v>1713.65</v>
      </c>
      <c r="M26" s="2">
        <f t="shared" si="2"/>
        <v>9.0087437807284624E-3</v>
      </c>
      <c r="N26" s="2">
        <f t="shared" si="7"/>
        <v>14.562124430955999</v>
      </c>
      <c r="O26" s="2"/>
      <c r="P26" s="1">
        <v>45749</v>
      </c>
      <c r="Q26" s="2">
        <v>11716.1</v>
      </c>
      <c r="R26">
        <f t="shared" si="3"/>
        <v>2.046842201531212E-2</v>
      </c>
      <c r="S26">
        <f t="shared" si="8"/>
        <v>19.872873689481931</v>
      </c>
      <c r="U26" s="1">
        <v>45749</v>
      </c>
      <c r="V26" s="2">
        <v>11250.95</v>
      </c>
      <c r="W26">
        <f t="shared" si="4"/>
        <v>-1.1222772473008565E-2</v>
      </c>
      <c r="X26">
        <f t="shared" si="9"/>
        <v>23.691538288514646</v>
      </c>
      <c r="Z26" s="2">
        <f t="shared" si="10"/>
        <v>101.92192777416902</v>
      </c>
      <c r="AA26" s="3">
        <f t="shared" si="11"/>
        <v>9.7908913981137324E-4</v>
      </c>
    </row>
    <row r="27" spans="1:27" x14ac:dyDescent="0.3">
      <c r="A27" s="1">
        <v>45748</v>
      </c>
      <c r="B27" s="2">
        <v>1526.5</v>
      </c>
      <c r="C27" s="4">
        <f t="shared" si="0"/>
        <v>-2.8109381466271982E-2</v>
      </c>
      <c r="D27" s="4">
        <f t="shared" si="5"/>
        <v>14.708666326588448</v>
      </c>
      <c r="E27" s="4"/>
      <c r="F27" s="1">
        <v>45750</v>
      </c>
      <c r="G27">
        <v>779.2</v>
      </c>
      <c r="H27">
        <f t="shared" si="1"/>
        <v>4.1884142019460013E-3</v>
      </c>
      <c r="I27">
        <f t="shared" si="6"/>
        <v>28.781360988776814</v>
      </c>
      <c r="K27" s="1">
        <v>45750</v>
      </c>
      <c r="L27" s="2">
        <v>1770</v>
      </c>
      <c r="M27" s="2">
        <f t="shared" si="2"/>
        <v>3.2883027456014881E-2</v>
      </c>
      <c r="N27" s="2">
        <f t="shared" si="7"/>
        <v>15.040971168437029</v>
      </c>
      <c r="O27" s="2"/>
      <c r="P27" s="1">
        <v>45750</v>
      </c>
      <c r="Q27" s="2">
        <v>11688.1</v>
      </c>
      <c r="R27">
        <f t="shared" si="3"/>
        <v>-2.3898737634537089E-3</v>
      </c>
      <c r="S27">
        <f t="shared" si="8"/>
        <v>19.825380030047011</v>
      </c>
      <c r="U27" s="1">
        <v>45750</v>
      </c>
      <c r="V27" s="2">
        <v>11606.6</v>
      </c>
      <c r="W27">
        <f t="shared" si="4"/>
        <v>3.1610663988374282E-2</v>
      </c>
      <c r="X27">
        <f t="shared" si="9"/>
        <v>24.440443544720583</v>
      </c>
      <c r="Z27" s="2">
        <f t="shared" si="10"/>
        <v>102.79682205856989</v>
      </c>
      <c r="AA27" s="3">
        <f t="shared" si="11"/>
        <v>8.5839652320880422E-3</v>
      </c>
    </row>
    <row r="28" spans="1:27" x14ac:dyDescent="0.3">
      <c r="A28" s="1">
        <v>45749</v>
      </c>
      <c r="B28" s="2">
        <v>1550.15</v>
      </c>
      <c r="C28" s="4">
        <f t="shared" si="0"/>
        <v>1.5492957746478932E-2</v>
      </c>
      <c r="D28" s="4">
        <f t="shared" si="5"/>
        <v>14.936547072493338</v>
      </c>
      <c r="E28" s="4"/>
      <c r="F28" s="1">
        <v>45751</v>
      </c>
      <c r="G28">
        <v>767.45</v>
      </c>
      <c r="H28">
        <f t="shared" si="1"/>
        <v>-1.5079568788501026E-2</v>
      </c>
      <c r="I28">
        <f t="shared" si="6"/>
        <v>28.347350475919875</v>
      </c>
      <c r="K28" s="1">
        <v>45751</v>
      </c>
      <c r="L28" s="2">
        <v>1709.35</v>
      </c>
      <c r="M28" s="2">
        <f t="shared" si="2"/>
        <v>-3.4265536723163896E-2</v>
      </c>
      <c r="N28" s="2">
        <f t="shared" si="7"/>
        <v>14.5255842185129</v>
      </c>
      <c r="O28" s="2"/>
      <c r="P28" s="1">
        <v>45751</v>
      </c>
      <c r="Q28" s="2">
        <v>11482</v>
      </c>
      <c r="R28">
        <f t="shared" si="3"/>
        <v>-1.7633319359006198E-2</v>
      </c>
      <c r="S28">
        <f t="shared" si="8"/>
        <v>19.475792772563526</v>
      </c>
      <c r="U28" s="1">
        <v>45751</v>
      </c>
      <c r="V28" s="2">
        <v>11498.65</v>
      </c>
      <c r="W28">
        <f t="shared" si="4"/>
        <v>-9.3007426808885216E-3</v>
      </c>
      <c r="X28">
        <f t="shared" si="9"/>
        <v>24.213129268304353</v>
      </c>
      <c r="Z28" s="2">
        <f t="shared" si="10"/>
        <v>101.49840380779399</v>
      </c>
      <c r="AA28" s="3">
        <f t="shared" si="11"/>
        <v>-1.2630918201304908E-2</v>
      </c>
    </row>
    <row r="29" spans="1:27" x14ac:dyDescent="0.3">
      <c r="A29" s="1">
        <v>45750</v>
      </c>
      <c r="B29" s="2">
        <v>1496.5</v>
      </c>
      <c r="C29" s="4">
        <f t="shared" si="0"/>
        <v>-3.4609553914137399E-2</v>
      </c>
      <c r="D29" s="4">
        <f t="shared" si="5"/>
        <v>14.419599841296828</v>
      </c>
      <c r="E29" s="4"/>
      <c r="F29" s="1">
        <v>45754</v>
      </c>
      <c r="G29">
        <v>746.9</v>
      </c>
      <c r="H29">
        <f t="shared" si="1"/>
        <v>-2.6776988728907509E-2</v>
      </c>
      <c r="I29">
        <f t="shared" si="6"/>
        <v>27.588293791731775</v>
      </c>
      <c r="K29" s="1">
        <v>45754</v>
      </c>
      <c r="L29" s="2">
        <v>1666.35</v>
      </c>
      <c r="M29" s="2">
        <f t="shared" si="2"/>
        <v>-2.5155760961769094E-2</v>
      </c>
      <c r="N29" s="2">
        <f t="shared" si="7"/>
        <v>14.160182094081945</v>
      </c>
      <c r="O29" s="2"/>
      <c r="P29" s="1">
        <v>45754</v>
      </c>
      <c r="Q29" s="2">
        <v>11329.75</v>
      </c>
      <c r="R29">
        <f t="shared" si="3"/>
        <v>-1.3259885037449922E-2</v>
      </c>
      <c r="S29">
        <f t="shared" si="8"/>
        <v>19.217545999386136</v>
      </c>
      <c r="U29" s="1">
        <v>45754</v>
      </c>
      <c r="V29" s="2">
        <v>11191.6</v>
      </c>
      <c r="W29">
        <f t="shared" si="4"/>
        <v>-2.6703134715814404E-2</v>
      </c>
      <c r="X29">
        <f t="shared" si="9"/>
        <v>23.566562815561394</v>
      </c>
      <c r="Z29" s="2">
        <f t="shared" si="10"/>
        <v>98.952184542058077</v>
      </c>
      <c r="AA29" s="3">
        <f t="shared" si="11"/>
        <v>-2.5086298603844592E-2</v>
      </c>
    </row>
    <row r="30" spans="1:27" x14ac:dyDescent="0.3">
      <c r="A30" s="1">
        <v>45751</v>
      </c>
      <c r="B30" s="2">
        <v>1451.65</v>
      </c>
      <c r="C30" s="4">
        <f t="shared" si="0"/>
        <v>-2.9969929836284603E-2</v>
      </c>
      <c r="D30" s="4">
        <f t="shared" si="5"/>
        <v>13.987445445785863</v>
      </c>
      <c r="E30" s="4"/>
      <c r="F30" s="1">
        <v>45755</v>
      </c>
      <c r="G30">
        <v>768.6</v>
      </c>
      <c r="H30">
        <f t="shared" si="1"/>
        <v>2.9053420805998188E-2</v>
      </c>
      <c r="I30">
        <f t="shared" si="6"/>
        <v>28.389828100582466</v>
      </c>
      <c r="K30" s="1">
        <v>45755</v>
      </c>
      <c r="L30" s="2">
        <v>1688.35</v>
      </c>
      <c r="M30" s="2">
        <f t="shared" si="2"/>
        <v>1.3202508476610557E-2</v>
      </c>
      <c r="N30" s="2">
        <f t="shared" si="7"/>
        <v>14.347132018209411</v>
      </c>
      <c r="O30" s="2"/>
      <c r="P30" s="1">
        <v>45755</v>
      </c>
      <c r="Q30" s="2">
        <v>11458.9</v>
      </c>
      <c r="R30">
        <f t="shared" si="3"/>
        <v>1.1399192391712054E-2</v>
      </c>
      <c r="S30">
        <f t="shared" si="8"/>
        <v>19.436610503529714</v>
      </c>
      <c r="U30" s="1">
        <v>45755</v>
      </c>
      <c r="V30" s="2">
        <v>11270.45</v>
      </c>
      <c r="W30">
        <f t="shared" si="4"/>
        <v>7.0454626684299257E-3</v>
      </c>
      <c r="X30">
        <f t="shared" si="9"/>
        <v>23.732600154101643</v>
      </c>
      <c r="Z30" s="2">
        <f t="shared" si="10"/>
        <v>99.89361622220909</v>
      </c>
      <c r="AA30" s="3">
        <f t="shared" si="11"/>
        <v>9.5140060273339877E-3</v>
      </c>
    </row>
    <row r="31" spans="1:27" x14ac:dyDescent="0.3">
      <c r="A31" s="1">
        <v>45754</v>
      </c>
      <c r="B31" s="2">
        <v>1396.75</v>
      </c>
      <c r="C31" s="4">
        <f t="shared" si="0"/>
        <v>-3.7819033513588049E-2</v>
      </c>
      <c r="D31" s="4">
        <f t="shared" si="5"/>
        <v>13.458453777702202</v>
      </c>
      <c r="E31" s="4"/>
      <c r="F31" s="1">
        <v>45755</v>
      </c>
      <c r="G31">
        <v>768.6</v>
      </c>
      <c r="H31">
        <f t="shared" si="1"/>
        <v>0</v>
      </c>
      <c r="I31">
        <f t="shared" si="6"/>
        <v>28.389828100582466</v>
      </c>
      <c r="K31" s="1">
        <v>45756</v>
      </c>
      <c r="L31" s="2">
        <v>1652.2</v>
      </c>
      <c r="M31" s="2">
        <f t="shared" si="2"/>
        <v>-2.1411437202001875E-2</v>
      </c>
      <c r="N31" s="2">
        <f t="shared" si="7"/>
        <v>14.039939301972689</v>
      </c>
      <c r="O31" s="2"/>
      <c r="P31" s="1">
        <v>45756</v>
      </c>
      <c r="Q31" s="2">
        <v>11457.4</v>
      </c>
      <c r="R31">
        <f t="shared" si="3"/>
        <v>-1.3090261717965947E-4</v>
      </c>
      <c r="S31">
        <f t="shared" si="8"/>
        <v>19.434066200345701</v>
      </c>
      <c r="U31" s="1">
        <v>45756</v>
      </c>
      <c r="V31" s="2">
        <v>11397.05</v>
      </c>
      <c r="W31">
        <f t="shared" si="4"/>
        <v>1.1232914391173248E-2</v>
      </c>
      <c r="X31">
        <f t="shared" si="9"/>
        <v>23.999186419912615</v>
      </c>
      <c r="Z31" s="2">
        <f t="shared" si="10"/>
        <v>99.321473800515676</v>
      </c>
      <c r="AA31" s="3">
        <f t="shared" si="11"/>
        <v>-5.7275173662820755E-3</v>
      </c>
    </row>
    <row r="32" spans="1:27" x14ac:dyDescent="0.3">
      <c r="A32" s="1">
        <v>45755</v>
      </c>
      <c r="B32" s="2">
        <v>1428.8</v>
      </c>
      <c r="C32" s="4">
        <f t="shared" si="0"/>
        <v>2.2946124932879869E-2</v>
      </c>
      <c r="D32" s="4">
        <f t="shared" si="5"/>
        <v>13.767273139488747</v>
      </c>
      <c r="E32" s="4"/>
      <c r="F32" s="1">
        <v>45756</v>
      </c>
      <c r="G32">
        <v>742.2</v>
      </c>
      <c r="H32">
        <f t="shared" si="1"/>
        <v>-3.4348165495706448E-2</v>
      </c>
      <c r="I32">
        <f t="shared" si="6"/>
        <v>27.414689586589002</v>
      </c>
      <c r="K32" s="1">
        <v>45758</v>
      </c>
      <c r="L32" s="2">
        <v>1687.55</v>
      </c>
      <c r="M32" s="2">
        <f t="shared" si="2"/>
        <v>2.139571480450303E-2</v>
      </c>
      <c r="N32" s="2">
        <f t="shared" si="7"/>
        <v>14.34033383915023</v>
      </c>
      <c r="O32" s="2"/>
      <c r="P32" s="1">
        <v>45758</v>
      </c>
      <c r="Q32" s="2">
        <v>11599.05</v>
      </c>
      <c r="R32">
        <f t="shared" si="3"/>
        <v>1.236318885611043E-2</v>
      </c>
      <c r="S32">
        <f t="shared" si="8"/>
        <v>19.674333231022725</v>
      </c>
      <c r="U32" s="1">
        <v>45758</v>
      </c>
      <c r="V32" s="2">
        <v>11502.65</v>
      </c>
      <c r="W32">
        <f t="shared" si="4"/>
        <v>9.2655555604301432E-3</v>
      </c>
      <c r="X32">
        <f t="shared" si="9"/>
        <v>24.221552215091435</v>
      </c>
      <c r="Z32" s="2">
        <f t="shared" si="10"/>
        <v>99.41818201134214</v>
      </c>
      <c r="AA32" s="3">
        <f t="shared" si="11"/>
        <v>9.7368884216009199E-4</v>
      </c>
    </row>
    <row r="33" spans="1:27" x14ac:dyDescent="0.3">
      <c r="A33" s="1">
        <v>45756</v>
      </c>
      <c r="B33" s="2">
        <v>1403.7</v>
      </c>
      <c r="C33" s="4">
        <f t="shared" si="0"/>
        <v>-1.7567189249719981E-2</v>
      </c>
      <c r="D33" s="4">
        <f t="shared" si="5"/>
        <v>13.525420846794761</v>
      </c>
      <c r="E33" s="4"/>
      <c r="F33" s="1">
        <v>45758</v>
      </c>
      <c r="G33">
        <v>753.85</v>
      </c>
      <c r="H33">
        <f t="shared" si="1"/>
        <v>1.5696577741848527E-2</v>
      </c>
      <c r="I33">
        <f t="shared" si="6"/>
        <v>27.845006392953543</v>
      </c>
      <c r="K33" s="1">
        <v>45762</v>
      </c>
      <c r="L33" s="2">
        <v>1705</v>
      </c>
      <c r="M33" s="2">
        <f t="shared" si="2"/>
        <v>1.0340434357500546E-2</v>
      </c>
      <c r="N33" s="2">
        <f t="shared" si="7"/>
        <v>14.488619119878608</v>
      </c>
      <c r="O33" s="2"/>
      <c r="P33" s="1">
        <v>45762</v>
      </c>
      <c r="Q33" s="2">
        <v>11855</v>
      </c>
      <c r="R33">
        <f t="shared" si="3"/>
        <v>2.2066462339588221E-2</v>
      </c>
      <c r="S33">
        <f t="shared" si="8"/>
        <v>20.108476164321598</v>
      </c>
      <c r="U33" s="1">
        <v>45762</v>
      </c>
      <c r="V33" s="2">
        <v>11719</v>
      </c>
      <c r="W33">
        <f t="shared" si="4"/>
        <v>1.8808709297422802E-2</v>
      </c>
      <c r="X33">
        <f t="shared" si="9"/>
        <v>24.677128349437435</v>
      </c>
      <c r="Z33" s="2">
        <f t="shared" si="10"/>
        <v>100.64465087338594</v>
      </c>
      <c r="AA33" s="3">
        <f t="shared" si="11"/>
        <v>1.2336464389419932E-2</v>
      </c>
    </row>
    <row r="34" spans="1:27" x14ac:dyDescent="0.3">
      <c r="A34" s="1">
        <v>45758</v>
      </c>
      <c r="B34" s="2">
        <v>1409.45</v>
      </c>
      <c r="C34" s="4">
        <f t="shared" si="0"/>
        <v>4.0963168768255323E-3</v>
      </c>
      <c r="D34" s="4">
        <f t="shared" si="5"/>
        <v>13.580825256475654</v>
      </c>
      <c r="E34" s="4"/>
      <c r="F34" s="1">
        <v>45762</v>
      </c>
      <c r="G34">
        <v>763.5</v>
      </c>
      <c r="H34">
        <f t="shared" si="1"/>
        <v>1.2800955097167841E-2</v>
      </c>
      <c r="I34">
        <f t="shared" si="6"/>
        <v>28.201449069470097</v>
      </c>
      <c r="K34" s="1">
        <v>45763</v>
      </c>
      <c r="L34" s="2">
        <v>1693.1</v>
      </c>
      <c r="M34" s="2">
        <f t="shared" si="2"/>
        <v>-6.9794721407625167E-3</v>
      </c>
      <c r="N34" s="2">
        <f t="shared" si="7"/>
        <v>14.387496206373296</v>
      </c>
      <c r="O34" s="2"/>
      <c r="P34" s="1">
        <v>45763</v>
      </c>
      <c r="Q34" s="2">
        <v>11664</v>
      </c>
      <c r="R34">
        <f t="shared" si="3"/>
        <v>-1.6111345423871784E-2</v>
      </c>
      <c r="S34">
        <f t="shared" si="8"/>
        <v>19.784501558890518</v>
      </c>
      <c r="U34" s="1">
        <v>45763</v>
      </c>
      <c r="V34" s="2">
        <v>11728</v>
      </c>
      <c r="W34">
        <f t="shared" si="4"/>
        <v>7.6798361634951783E-4</v>
      </c>
      <c r="X34">
        <f t="shared" si="9"/>
        <v>24.696079979708355</v>
      </c>
      <c r="Z34" s="2">
        <f t="shared" si="10"/>
        <v>100.65035207091792</v>
      </c>
      <c r="AA34" s="3">
        <f t="shared" si="11"/>
        <v>5.6646801220860965E-5</v>
      </c>
    </row>
    <row r="35" spans="1:27" x14ac:dyDescent="0.3">
      <c r="A35" s="1">
        <v>45762</v>
      </c>
      <c r="B35" s="2">
        <v>1426</v>
      </c>
      <c r="C35" s="4">
        <f t="shared" si="0"/>
        <v>1.1742168931143321E-2</v>
      </c>
      <c r="D35" s="4">
        <f t="shared" si="5"/>
        <v>13.740293600861527</v>
      </c>
      <c r="E35" s="4"/>
      <c r="F35" s="1">
        <v>45763</v>
      </c>
      <c r="G35">
        <v>771.75</v>
      </c>
      <c r="H35">
        <f t="shared" si="1"/>
        <v>1.0805500982318271E-2</v>
      </c>
      <c r="I35">
        <f t="shared" si="6"/>
        <v>28.506179855093055</v>
      </c>
      <c r="K35" s="1">
        <v>45764</v>
      </c>
      <c r="L35" s="2">
        <v>1751.5</v>
      </c>
      <c r="M35" s="2">
        <f t="shared" si="2"/>
        <v>3.4492941940818672E-2</v>
      </c>
      <c r="N35" s="2">
        <f t="shared" si="7"/>
        <v>14.883763277693479</v>
      </c>
      <c r="O35" s="2"/>
      <c r="P35" s="1">
        <v>45764</v>
      </c>
      <c r="Q35" s="2">
        <v>11695</v>
      </c>
      <c r="R35">
        <f t="shared" si="3"/>
        <v>2.657750342935528E-3</v>
      </c>
      <c r="S35">
        <f t="shared" si="8"/>
        <v>19.837083824693465</v>
      </c>
      <c r="U35" s="1">
        <v>45764</v>
      </c>
      <c r="V35" s="2">
        <v>11901</v>
      </c>
      <c r="W35">
        <f t="shared" si="4"/>
        <v>1.4751023192360165E-2</v>
      </c>
      <c r="X35">
        <f t="shared" si="9"/>
        <v>25.060372428249416</v>
      </c>
      <c r="Z35" s="2">
        <f t="shared" si="10"/>
        <v>102.02769298659095</v>
      </c>
      <c r="AA35" s="3">
        <f t="shared" si="11"/>
        <v>1.3684412297957582E-2</v>
      </c>
    </row>
    <row r="36" spans="1:27" x14ac:dyDescent="0.3">
      <c r="A36" s="1">
        <v>45763</v>
      </c>
      <c r="B36" s="2">
        <v>1413.1</v>
      </c>
      <c r="C36" s="4">
        <f t="shared" si="0"/>
        <v>-9.0462833099579885E-3</v>
      </c>
      <c r="D36" s="4">
        <f t="shared" si="5"/>
        <v>13.615995012186131</v>
      </c>
      <c r="E36" s="4"/>
      <c r="F36" s="1">
        <v>45764</v>
      </c>
      <c r="G36">
        <v>797.45</v>
      </c>
      <c r="H36">
        <f t="shared" si="1"/>
        <v>3.3300939423388465E-2</v>
      </c>
      <c r="I36">
        <f t="shared" si="6"/>
        <v>29.455462423639727</v>
      </c>
      <c r="K36" s="1">
        <v>45768</v>
      </c>
      <c r="L36" s="2">
        <v>1744.9</v>
      </c>
      <c r="M36" s="2">
        <f t="shared" si="2"/>
        <v>-3.7681986868397998E-3</v>
      </c>
      <c r="N36" s="2">
        <f t="shared" si="7"/>
        <v>14.82767830045524</v>
      </c>
      <c r="O36" s="2"/>
      <c r="P36" s="1">
        <v>45768</v>
      </c>
      <c r="Q36" s="2">
        <v>11745</v>
      </c>
      <c r="R36">
        <f t="shared" si="3"/>
        <v>4.2753313381787093E-3</v>
      </c>
      <c r="S36">
        <f t="shared" si="8"/>
        <v>19.921893930827256</v>
      </c>
      <c r="U36" s="1">
        <v>45768</v>
      </c>
      <c r="V36" s="2">
        <v>11934</v>
      </c>
      <c r="W36">
        <f t="shared" si="4"/>
        <v>2.7728762288883285E-3</v>
      </c>
      <c r="X36">
        <f t="shared" si="9"/>
        <v>25.129861739242799</v>
      </c>
      <c r="Z36" s="2">
        <f t="shared" si="10"/>
        <v>102.95089140635115</v>
      </c>
      <c r="AA36" s="3">
        <f t="shared" si="11"/>
        <v>9.0485082308147113E-3</v>
      </c>
    </row>
    <row r="37" spans="1:27" x14ac:dyDescent="0.3">
      <c r="A37" s="1">
        <v>45764</v>
      </c>
      <c r="B37" s="2">
        <v>1419.5</v>
      </c>
      <c r="C37" s="4">
        <f t="shared" si="0"/>
        <v>4.5290496072465441E-3</v>
      </c>
      <c r="D37" s="4">
        <f t="shared" si="5"/>
        <v>13.677662529048343</v>
      </c>
      <c r="E37" s="4"/>
      <c r="F37" s="1">
        <v>45768</v>
      </c>
      <c r="G37">
        <v>816.7</v>
      </c>
      <c r="H37">
        <f t="shared" si="1"/>
        <v>2.4139444479277697E-2</v>
      </c>
      <c r="I37">
        <f t="shared" si="6"/>
        <v>30.166500923426629</v>
      </c>
      <c r="K37" s="1">
        <v>45769</v>
      </c>
      <c r="L37" s="2">
        <v>1747.4</v>
      </c>
      <c r="M37" s="2">
        <f t="shared" si="2"/>
        <v>1.4327468622843714E-3</v>
      </c>
      <c r="N37" s="2">
        <f t="shared" si="7"/>
        <v>14.84892261001518</v>
      </c>
      <c r="O37" s="2"/>
      <c r="P37" s="1">
        <v>45769</v>
      </c>
      <c r="Q37" s="2">
        <v>11734</v>
      </c>
      <c r="R37">
        <f t="shared" si="3"/>
        <v>-9.3656875266070669E-4</v>
      </c>
      <c r="S37">
        <f t="shared" si="8"/>
        <v>19.903235707477823</v>
      </c>
      <c r="U37" s="1">
        <v>45769</v>
      </c>
      <c r="V37" s="2">
        <v>11959</v>
      </c>
      <c r="W37">
        <f t="shared" si="4"/>
        <v>2.0948550360315064E-3</v>
      </c>
      <c r="X37">
        <f t="shared" si="9"/>
        <v>25.182505156662028</v>
      </c>
      <c r="Z37" s="2">
        <f t="shared" si="10"/>
        <v>103.77882692663</v>
      </c>
      <c r="AA37" s="3">
        <f t="shared" si="11"/>
        <v>8.0420432399266328E-3</v>
      </c>
    </row>
    <row r="38" spans="1:27" x14ac:dyDescent="0.3">
      <c r="A38" s="1">
        <v>45768</v>
      </c>
      <c r="B38" s="2">
        <v>1451</v>
      </c>
      <c r="C38" s="4">
        <f t="shared" si="0"/>
        <v>2.2190912293060937E-2</v>
      </c>
      <c r="D38" s="4">
        <f t="shared" si="5"/>
        <v>13.981182338604542</v>
      </c>
      <c r="E38" s="4"/>
      <c r="F38" s="1">
        <v>45769</v>
      </c>
      <c r="G38">
        <v>822.4</v>
      </c>
      <c r="H38">
        <f t="shared" si="1"/>
        <v>6.979306967062485E-3</v>
      </c>
      <c r="I38">
        <f t="shared" si="6"/>
        <v>30.377042193493399</v>
      </c>
      <c r="K38" s="1">
        <v>45770</v>
      </c>
      <c r="L38" s="2">
        <v>1788.8</v>
      </c>
      <c r="M38" s="2">
        <f t="shared" si="2"/>
        <v>2.3692342909465411E-2</v>
      </c>
      <c r="N38" s="2">
        <f t="shared" si="7"/>
        <v>15.200728376327772</v>
      </c>
      <c r="O38" s="2"/>
      <c r="P38" s="1">
        <v>45770</v>
      </c>
      <c r="Q38" s="2">
        <v>11907</v>
      </c>
      <c r="R38">
        <f t="shared" si="3"/>
        <v>1.4743480484063405E-2</v>
      </c>
      <c r="S38">
        <f t="shared" si="8"/>
        <v>20.196678674700735</v>
      </c>
      <c r="U38" s="1">
        <v>45770</v>
      </c>
      <c r="V38" s="2">
        <v>11949</v>
      </c>
      <c r="W38">
        <f t="shared" si="4"/>
        <v>-8.3619031691613006E-4</v>
      </c>
      <c r="X38">
        <f t="shared" si="9"/>
        <v>25.161447789694336</v>
      </c>
      <c r="Z38" s="2">
        <f t="shared" si="10"/>
        <v>104.91707937282078</v>
      </c>
      <c r="AA38" s="3">
        <f t="shared" si="11"/>
        <v>1.0968060440647465E-2</v>
      </c>
    </row>
    <row r="39" spans="1:27" x14ac:dyDescent="0.3">
      <c r="A39" s="1">
        <v>45769</v>
      </c>
      <c r="B39" s="2">
        <v>1422.8</v>
      </c>
      <c r="C39" s="4">
        <f t="shared" si="0"/>
        <v>-1.9434872501722981E-2</v>
      </c>
      <c r="D39" s="4">
        <f t="shared" si="5"/>
        <v>13.709459842430423</v>
      </c>
      <c r="E39" s="4"/>
      <c r="F39" s="1">
        <v>45770</v>
      </c>
      <c r="G39">
        <v>813.45</v>
      </c>
      <c r="H39">
        <f t="shared" si="1"/>
        <v>-1.0882782101167233E-2</v>
      </c>
      <c r="I39">
        <f t="shared" si="6"/>
        <v>30.046455462423648</v>
      </c>
      <c r="K39" s="1">
        <v>45771</v>
      </c>
      <c r="L39" s="2">
        <v>1803.9</v>
      </c>
      <c r="M39" s="2">
        <f t="shared" si="2"/>
        <v>8.4414132379249419E-3</v>
      </c>
      <c r="N39" s="2">
        <f t="shared" si="7"/>
        <v>15.329044006069806</v>
      </c>
      <c r="O39" s="2"/>
      <c r="P39" s="1">
        <v>45771</v>
      </c>
      <c r="Q39" s="2">
        <v>11894</v>
      </c>
      <c r="R39">
        <f t="shared" si="3"/>
        <v>-1.0917947425883934E-3</v>
      </c>
      <c r="S39">
        <f t="shared" si="8"/>
        <v>20.174628047105951</v>
      </c>
      <c r="U39" s="1">
        <v>45771</v>
      </c>
      <c r="V39" s="2">
        <v>12159</v>
      </c>
      <c r="W39">
        <f t="shared" si="4"/>
        <v>1.7574692442882251E-2</v>
      </c>
      <c r="X39">
        <f t="shared" si="9"/>
        <v>25.603652496015854</v>
      </c>
      <c r="Z39" s="2">
        <f t="shared" si="10"/>
        <v>104.86323985404569</v>
      </c>
      <c r="AA39" s="3">
        <f t="shared" si="11"/>
        <v>-5.1316257655031894E-4</v>
      </c>
    </row>
    <row r="40" spans="1:27" x14ac:dyDescent="0.3">
      <c r="A40" s="1">
        <v>45770</v>
      </c>
      <c r="B40" s="2">
        <v>1474.9</v>
      </c>
      <c r="C40" s="4">
        <f t="shared" si="0"/>
        <v>3.6617936463311879E-2</v>
      </c>
      <c r="D40" s="4">
        <f t="shared" si="5"/>
        <v>14.211471971886866</v>
      </c>
      <c r="E40" s="4"/>
      <c r="F40" s="1">
        <v>45771</v>
      </c>
      <c r="G40">
        <v>813.4</v>
      </c>
      <c r="H40">
        <f t="shared" si="1"/>
        <v>-6.1466592906839033E-5</v>
      </c>
      <c r="I40">
        <f t="shared" si="6"/>
        <v>30.044608609177445</v>
      </c>
      <c r="K40" s="1">
        <v>45772</v>
      </c>
      <c r="L40" s="2">
        <v>1787.4</v>
      </c>
      <c r="M40" s="2">
        <f t="shared" si="2"/>
        <v>-9.146848494927657E-3</v>
      </c>
      <c r="N40" s="2">
        <f t="shared" si="7"/>
        <v>15.188831562974206</v>
      </c>
      <c r="O40" s="2"/>
      <c r="P40" s="1">
        <v>45772</v>
      </c>
      <c r="Q40" s="2">
        <v>11698</v>
      </c>
      <c r="R40">
        <f t="shared" si="3"/>
        <v>-1.6478896922818228E-2</v>
      </c>
      <c r="S40">
        <f t="shared" si="8"/>
        <v>19.842172431061496</v>
      </c>
      <c r="U40" s="1">
        <v>45772</v>
      </c>
      <c r="V40" s="2">
        <v>12237</v>
      </c>
      <c r="W40">
        <f t="shared" si="4"/>
        <v>6.4150012336540831E-3</v>
      </c>
      <c r="X40">
        <f t="shared" si="9"/>
        <v>25.767899958363849</v>
      </c>
      <c r="Z40" s="2">
        <f t="shared" si="10"/>
        <v>105.05498453346385</v>
      </c>
      <c r="AA40" s="3">
        <f t="shared" si="11"/>
        <v>1.8285214121274151E-3</v>
      </c>
    </row>
    <row r="41" spans="1:27" x14ac:dyDescent="0.3">
      <c r="A41" s="1">
        <v>45771</v>
      </c>
      <c r="B41" s="2">
        <v>1471.4</v>
      </c>
      <c r="C41" s="4">
        <f t="shared" si="0"/>
        <v>-2.3730422401518746E-3</v>
      </c>
      <c r="D41" s="4">
        <f t="shared" si="5"/>
        <v>14.177747548602843</v>
      </c>
      <c r="E41" s="4"/>
      <c r="F41" s="1">
        <v>45772</v>
      </c>
      <c r="G41">
        <v>798.65</v>
      </c>
      <c r="H41">
        <f t="shared" si="1"/>
        <v>-1.813375952790755E-2</v>
      </c>
      <c r="I41">
        <f t="shared" si="6"/>
        <v>29.499786901548521</v>
      </c>
      <c r="K41" s="1">
        <v>45775</v>
      </c>
      <c r="L41" s="2">
        <v>1841.6</v>
      </c>
      <c r="M41" s="2">
        <f t="shared" si="2"/>
        <v>3.0323374734250765E-2</v>
      </c>
      <c r="N41" s="2">
        <f t="shared" si="7"/>
        <v>15.64940819423369</v>
      </c>
      <c r="O41" s="2"/>
      <c r="P41" s="1">
        <v>45775</v>
      </c>
      <c r="Q41" s="2">
        <v>11846</v>
      </c>
      <c r="R41">
        <f t="shared" si="3"/>
        <v>1.2651735339374252E-2</v>
      </c>
      <c r="S41">
        <f t="shared" si="8"/>
        <v>20.093210345217514</v>
      </c>
      <c r="U41" s="1">
        <v>45775</v>
      </c>
      <c r="V41" s="2">
        <v>12114</v>
      </c>
      <c r="W41">
        <f t="shared" si="4"/>
        <v>-1.00514832066683E-2</v>
      </c>
      <c r="X41">
        <f t="shared" si="9"/>
        <v>25.508894344661247</v>
      </c>
      <c r="Z41" s="2">
        <f t="shared" si="10"/>
        <v>104.92904733426381</v>
      </c>
      <c r="AA41" s="3">
        <f t="shared" si="11"/>
        <v>-1.1987741444092759E-3</v>
      </c>
    </row>
    <row r="42" spans="1:27" x14ac:dyDescent="0.3">
      <c r="A42" s="1">
        <v>45772</v>
      </c>
      <c r="B42" s="2">
        <v>1480.2</v>
      </c>
      <c r="C42" s="4">
        <f t="shared" si="0"/>
        <v>5.9806986543427714E-3</v>
      </c>
      <c r="D42" s="4">
        <f t="shared" si="5"/>
        <v>14.262540384288382</v>
      </c>
      <c r="E42" s="4"/>
      <c r="F42" s="1">
        <v>45775</v>
      </c>
      <c r="G42">
        <v>817.35</v>
      </c>
      <c r="H42">
        <f t="shared" si="1"/>
        <v>2.3414511988981465E-2</v>
      </c>
      <c r="I42">
        <f t="shared" si="6"/>
        <v>30.190510015627229</v>
      </c>
      <c r="K42" s="1">
        <v>45776</v>
      </c>
      <c r="L42" s="2">
        <v>1805.5</v>
      </c>
      <c r="M42" s="2">
        <f t="shared" si="2"/>
        <v>-1.9602519548218893E-2</v>
      </c>
      <c r="N42" s="2">
        <f t="shared" si="7"/>
        <v>15.342640364188167</v>
      </c>
      <c r="O42" s="2"/>
      <c r="P42" s="1">
        <v>45776</v>
      </c>
      <c r="Q42" s="2">
        <v>11841</v>
      </c>
      <c r="R42">
        <f t="shared" si="3"/>
        <v>-4.2208340368056729E-4</v>
      </c>
      <c r="S42">
        <f t="shared" si="8"/>
        <v>20.084729334604134</v>
      </c>
      <c r="U42" s="1">
        <v>45776</v>
      </c>
      <c r="V42" s="2">
        <v>11869</v>
      </c>
      <c r="W42">
        <f t="shared" si="4"/>
        <v>-2.0224533597490508E-2</v>
      </c>
      <c r="X42">
        <f t="shared" si="9"/>
        <v>24.992988853952809</v>
      </c>
      <c r="Z42" s="2">
        <f t="shared" si="10"/>
        <v>104.87340895266072</v>
      </c>
      <c r="AA42" s="3">
        <f t="shared" si="11"/>
        <v>-5.3024765798026507E-4</v>
      </c>
    </row>
    <row r="43" spans="1:27" x14ac:dyDescent="0.3">
      <c r="A43" s="1">
        <v>45775</v>
      </c>
      <c r="B43" s="2">
        <v>1482.1</v>
      </c>
      <c r="C43" s="4">
        <f t="shared" si="0"/>
        <v>1.2836103229292416E-3</v>
      </c>
      <c r="D43" s="4">
        <f t="shared" si="5"/>
        <v>14.280847928356849</v>
      </c>
      <c r="E43" s="4"/>
      <c r="F43" s="1">
        <v>45776</v>
      </c>
      <c r="G43">
        <v>812.55</v>
      </c>
      <c r="H43">
        <f t="shared" si="1"/>
        <v>-5.8726371811342361E-3</v>
      </c>
      <c r="I43">
        <f t="shared" si="6"/>
        <v>30.01321210399205</v>
      </c>
      <c r="K43" s="1">
        <v>45777</v>
      </c>
      <c r="L43" s="2">
        <v>1832.3</v>
      </c>
      <c r="M43" s="2">
        <f t="shared" si="2"/>
        <v>1.4843533647189119E-2</v>
      </c>
      <c r="N43" s="2">
        <f t="shared" si="7"/>
        <v>15.570379362670716</v>
      </c>
      <c r="O43" s="2"/>
      <c r="P43" s="1">
        <v>45777</v>
      </c>
      <c r="Q43" s="2">
        <v>12257</v>
      </c>
      <c r="R43">
        <f t="shared" si="3"/>
        <v>3.5132167891225405E-2</v>
      </c>
      <c r="S43">
        <f t="shared" si="8"/>
        <v>20.790349417637266</v>
      </c>
      <c r="U43" s="1">
        <v>45777</v>
      </c>
      <c r="V43" s="2">
        <v>11641</v>
      </c>
      <c r="W43">
        <f t="shared" si="4"/>
        <v>-1.9209705956693909E-2</v>
      </c>
      <c r="X43">
        <f t="shared" si="9"/>
        <v>24.512880887089448</v>
      </c>
      <c r="Z43" s="2">
        <f t="shared" si="10"/>
        <v>105.16766969974633</v>
      </c>
      <c r="AA43" s="3">
        <f t="shared" si="11"/>
        <v>2.8058661392271755E-3</v>
      </c>
    </row>
    <row r="44" spans="1:27" x14ac:dyDescent="0.3">
      <c r="A44" s="1">
        <v>45776</v>
      </c>
      <c r="B44" s="2">
        <v>1497.5</v>
      </c>
      <c r="C44" s="4">
        <f t="shared" si="0"/>
        <v>1.0390661898657373E-2</v>
      </c>
      <c r="D44" s="4">
        <f t="shared" si="5"/>
        <v>14.429235390806546</v>
      </c>
      <c r="E44" s="4"/>
      <c r="F44" s="1">
        <v>45777</v>
      </c>
      <c r="G44">
        <v>788.65</v>
      </c>
      <c r="H44">
        <f t="shared" si="1"/>
        <v>-2.941357454925848E-2</v>
      </c>
      <c r="I44">
        <f t="shared" si="6"/>
        <v>29.130416252308571</v>
      </c>
      <c r="K44" s="1">
        <v>45779</v>
      </c>
      <c r="L44" s="2">
        <v>1829.4</v>
      </c>
      <c r="M44" s="2">
        <f t="shared" si="2"/>
        <v>-1.5827102548708529E-3</v>
      </c>
      <c r="N44" s="2">
        <f t="shared" si="7"/>
        <v>15.545735963581187</v>
      </c>
      <c r="O44" s="2"/>
      <c r="P44" s="1">
        <v>45779</v>
      </c>
      <c r="Q44" s="2">
        <v>12406</v>
      </c>
      <c r="R44">
        <f t="shared" si="3"/>
        <v>1.2156318838214898E-2</v>
      </c>
      <c r="S44">
        <f t="shared" si="8"/>
        <v>21.043083533915961</v>
      </c>
      <c r="U44" s="1">
        <v>45779</v>
      </c>
      <c r="V44" s="2">
        <v>11644</v>
      </c>
      <c r="W44">
        <f t="shared" si="4"/>
        <v>2.5770981874409412E-4</v>
      </c>
      <c r="X44">
        <f t="shared" si="9"/>
        <v>24.519198097179757</v>
      </c>
      <c r="Z44" s="2">
        <f t="shared" si="10"/>
        <v>104.66766923779201</v>
      </c>
      <c r="AA44" s="3">
        <f t="shared" si="11"/>
        <v>-4.7543172096692343E-3</v>
      </c>
    </row>
    <row r="45" spans="1:27" x14ac:dyDescent="0.3">
      <c r="A45" s="1">
        <v>45777</v>
      </c>
      <c r="B45" s="2">
        <v>1500.1</v>
      </c>
      <c r="C45" s="4">
        <f t="shared" si="0"/>
        <v>1.7362270450750645E-3</v>
      </c>
      <c r="D45" s="4">
        <f t="shared" si="5"/>
        <v>14.454287819531821</v>
      </c>
      <c r="E45" s="4"/>
      <c r="F45" s="1">
        <v>45779</v>
      </c>
      <c r="G45">
        <v>800</v>
      </c>
      <c r="H45">
        <f t="shared" si="1"/>
        <v>1.4391681988207726E-2</v>
      </c>
      <c r="I45">
        <f t="shared" si="6"/>
        <v>29.549651939195915</v>
      </c>
      <c r="K45" s="1">
        <v>45782</v>
      </c>
      <c r="L45" s="2">
        <v>1836.6</v>
      </c>
      <c r="M45" s="2">
        <f t="shared" si="2"/>
        <v>3.9357166284026551E-3</v>
      </c>
      <c r="N45" s="2">
        <f t="shared" si="7"/>
        <v>15.60691957511381</v>
      </c>
      <c r="O45" s="2"/>
      <c r="P45" s="1">
        <v>45782</v>
      </c>
      <c r="Q45" s="2">
        <v>12458</v>
      </c>
      <c r="R45">
        <f t="shared" si="3"/>
        <v>4.1915202321457356E-3</v>
      </c>
      <c r="S45">
        <f t="shared" si="8"/>
        <v>21.131286044295102</v>
      </c>
      <c r="U45" s="1">
        <v>45782</v>
      </c>
      <c r="V45" s="2">
        <v>11670</v>
      </c>
      <c r="W45">
        <f t="shared" si="4"/>
        <v>2.2329096530401922E-3</v>
      </c>
      <c r="X45">
        <f t="shared" si="9"/>
        <v>24.573947251295756</v>
      </c>
      <c r="Z45" s="2">
        <f t="shared" si="10"/>
        <v>105.3160926294324</v>
      </c>
      <c r="AA45" s="3">
        <f t="shared" si="11"/>
        <v>6.1950686048741765E-3</v>
      </c>
    </row>
    <row r="46" spans="1:27" x14ac:dyDescent="0.3">
      <c r="A46" s="1">
        <v>45779</v>
      </c>
      <c r="B46" s="2">
        <v>1506.8</v>
      </c>
      <c r="C46" s="4">
        <f t="shared" si="0"/>
        <v>4.4663689087394483E-3</v>
      </c>
      <c r="D46" s="4">
        <f t="shared" si="5"/>
        <v>14.518846001246949</v>
      </c>
      <c r="E46" s="4"/>
      <c r="F46" s="1">
        <v>45782</v>
      </c>
      <c r="G46">
        <v>790</v>
      </c>
      <c r="H46">
        <f t="shared" si="1"/>
        <v>-1.2500000000000001E-2</v>
      </c>
      <c r="I46">
        <f t="shared" si="6"/>
        <v>29.180281289955968</v>
      </c>
      <c r="K46" s="1">
        <v>45783</v>
      </c>
      <c r="L46" s="2">
        <v>1819.1</v>
      </c>
      <c r="M46" s="2">
        <f t="shared" si="2"/>
        <v>-9.5284765327235121E-3</v>
      </c>
      <c r="N46" s="2">
        <f t="shared" si="7"/>
        <v>15.458209408194236</v>
      </c>
      <c r="O46" s="2"/>
      <c r="P46" s="1">
        <v>45783</v>
      </c>
      <c r="Q46" s="2">
        <v>12581</v>
      </c>
      <c r="R46">
        <f t="shared" si="3"/>
        <v>9.8731738641836576E-3</v>
      </c>
      <c r="S46">
        <f t="shared" si="8"/>
        <v>21.339918905384227</v>
      </c>
      <c r="U46" s="1">
        <v>45783</v>
      </c>
      <c r="V46" s="2">
        <v>11693</v>
      </c>
      <c r="W46">
        <f t="shared" si="4"/>
        <v>1.970865467009426E-3</v>
      </c>
      <c r="X46">
        <f t="shared" si="9"/>
        <v>24.622379195321447</v>
      </c>
      <c r="Z46" s="2">
        <f t="shared" si="10"/>
        <v>105.11963480010282</v>
      </c>
      <c r="AA46" s="3">
        <f t="shared" si="11"/>
        <v>-1.8654113006342232E-3</v>
      </c>
    </row>
    <row r="47" spans="1:27" x14ac:dyDescent="0.3">
      <c r="A47" s="1">
        <v>45782</v>
      </c>
      <c r="B47" s="2">
        <v>1508.6</v>
      </c>
      <c r="C47" s="4">
        <f t="shared" si="0"/>
        <v>1.1945845500397894E-3</v>
      </c>
      <c r="D47" s="4">
        <f t="shared" si="5"/>
        <v>14.536189990364447</v>
      </c>
      <c r="E47" s="4"/>
      <c r="F47" s="1">
        <v>45783</v>
      </c>
      <c r="G47">
        <v>774.1</v>
      </c>
      <c r="H47">
        <f t="shared" si="1"/>
        <v>-2.0126582278480985E-2</v>
      </c>
      <c r="I47">
        <f t="shared" si="6"/>
        <v>28.592981957664449</v>
      </c>
      <c r="K47" s="1">
        <v>45784</v>
      </c>
      <c r="L47" s="2">
        <v>1781.3</v>
      </c>
      <c r="M47" s="2">
        <f t="shared" si="2"/>
        <v>-2.0779506349293583E-2</v>
      </c>
      <c r="N47" s="2">
        <f t="shared" si="7"/>
        <v>15.136995447647953</v>
      </c>
      <c r="O47" s="2"/>
      <c r="P47" s="1">
        <v>45784</v>
      </c>
      <c r="Q47" s="2">
        <v>12633</v>
      </c>
      <c r="R47">
        <f t="shared" si="3"/>
        <v>4.1332167554248471E-3</v>
      </c>
      <c r="S47">
        <f t="shared" si="8"/>
        <v>21.428121415763368</v>
      </c>
      <c r="U47" s="1">
        <v>45784</v>
      </c>
      <c r="V47" s="2">
        <v>11658</v>
      </c>
      <c r="W47">
        <f t="shared" si="4"/>
        <v>-2.9932438210895406E-3</v>
      </c>
      <c r="X47">
        <f t="shared" si="9"/>
        <v>24.548678410934528</v>
      </c>
      <c r="Z47" s="2">
        <f t="shared" si="10"/>
        <v>104.24296722237474</v>
      </c>
      <c r="AA47" s="3">
        <f t="shared" si="11"/>
        <v>-8.3397129317958063E-3</v>
      </c>
    </row>
    <row r="48" spans="1:27" x14ac:dyDescent="0.3">
      <c r="A48" s="1">
        <v>45783</v>
      </c>
      <c r="B48" s="2">
        <v>1511.5</v>
      </c>
      <c r="C48" s="4">
        <f t="shared" si="0"/>
        <v>1.9223120774228364E-3</v>
      </c>
      <c r="D48" s="4">
        <f t="shared" si="5"/>
        <v>14.564133083942636</v>
      </c>
      <c r="E48" s="4"/>
      <c r="F48" s="1">
        <v>45784</v>
      </c>
      <c r="G48">
        <v>776.1</v>
      </c>
      <c r="H48">
        <f t="shared" si="1"/>
        <v>2.58364552383413E-3</v>
      </c>
      <c r="I48">
        <f t="shared" si="6"/>
        <v>28.666856087512439</v>
      </c>
      <c r="K48" s="1">
        <v>45785</v>
      </c>
      <c r="L48" s="2">
        <v>1767.2</v>
      </c>
      <c r="M48" s="2">
        <f t="shared" si="2"/>
        <v>-7.9155672823218483E-3</v>
      </c>
      <c r="N48" s="2">
        <f t="shared" si="7"/>
        <v>15.017177541729895</v>
      </c>
      <c r="O48" s="2"/>
      <c r="P48" s="1">
        <v>45785</v>
      </c>
      <c r="Q48" s="2">
        <v>12392</v>
      </c>
      <c r="R48">
        <f t="shared" si="3"/>
        <v>-1.9077020501860206E-2</v>
      </c>
      <c r="S48">
        <f t="shared" si="8"/>
        <v>21.019336704198501</v>
      </c>
      <c r="U48" s="1">
        <v>45785</v>
      </c>
      <c r="V48" s="2">
        <v>11631</v>
      </c>
      <c r="W48">
        <f t="shared" si="4"/>
        <v>-2.3160061760164694E-3</v>
      </c>
      <c r="X48">
        <f t="shared" si="9"/>
        <v>24.491823520121763</v>
      </c>
      <c r="Z48" s="2">
        <f t="shared" si="10"/>
        <v>103.75932693750522</v>
      </c>
      <c r="AA48" s="3">
        <f t="shared" si="11"/>
        <v>-4.6395483336330035E-3</v>
      </c>
    </row>
    <row r="49" spans="1:27" x14ac:dyDescent="0.3">
      <c r="A49" s="1">
        <v>45784</v>
      </c>
      <c r="B49" s="2">
        <v>1508.3</v>
      </c>
      <c r="C49" s="4">
        <f t="shared" si="0"/>
        <v>-2.1171022163414127E-3</v>
      </c>
      <c r="D49" s="4">
        <f t="shared" si="5"/>
        <v>14.53329932551153</v>
      </c>
      <c r="E49" s="4"/>
      <c r="F49" s="1">
        <v>45785</v>
      </c>
      <c r="G49">
        <v>769</v>
      </c>
      <c r="H49">
        <f t="shared" si="1"/>
        <v>-9.14830563071772E-3</v>
      </c>
      <c r="I49">
        <f t="shared" si="6"/>
        <v>28.404602926552077</v>
      </c>
      <c r="K49" s="1">
        <v>45786</v>
      </c>
      <c r="L49" s="2">
        <v>1744.8</v>
      </c>
      <c r="M49" s="2">
        <f t="shared" si="2"/>
        <v>-1.2675418741512047E-2</v>
      </c>
      <c r="N49" s="2">
        <f t="shared" si="7"/>
        <v>14.826828528072838</v>
      </c>
      <c r="O49" s="2"/>
      <c r="P49" s="1">
        <v>45786</v>
      </c>
      <c r="Q49" s="2">
        <v>12250</v>
      </c>
      <c r="R49">
        <f t="shared" si="3"/>
        <v>-1.1459005810200129E-2</v>
      </c>
      <c r="S49">
        <f t="shared" si="8"/>
        <v>20.77847600277854</v>
      </c>
      <c r="U49" s="1">
        <v>45786</v>
      </c>
      <c r="V49" s="2">
        <v>11364</v>
      </c>
      <c r="W49">
        <f t="shared" si="4"/>
        <v>-2.2955893732267217E-2</v>
      </c>
      <c r="X49">
        <f t="shared" si="9"/>
        <v>23.929591822084404</v>
      </c>
      <c r="Z49" s="2">
        <f t="shared" si="10"/>
        <v>102.47279860499938</v>
      </c>
      <c r="AA49" s="3">
        <f t="shared" si="11"/>
        <v>-1.2399158422458978E-2</v>
      </c>
    </row>
    <row r="50" spans="1:27" x14ac:dyDescent="0.3">
      <c r="A50" s="1">
        <v>45785</v>
      </c>
      <c r="B50" s="2">
        <v>1511.4</v>
      </c>
      <c r="C50" s="4">
        <f t="shared" si="0"/>
        <v>2.0552940396473757E-3</v>
      </c>
      <c r="D50" s="4">
        <f t="shared" si="5"/>
        <v>14.563169528991667</v>
      </c>
      <c r="E50" s="4"/>
      <c r="F50" s="1">
        <v>45786</v>
      </c>
      <c r="G50">
        <v>779.25</v>
      </c>
      <c r="H50">
        <f t="shared" si="1"/>
        <v>1.3328998699609884E-2</v>
      </c>
      <c r="I50">
        <f t="shared" si="6"/>
        <v>28.783207842023025</v>
      </c>
      <c r="K50" s="1">
        <v>45789</v>
      </c>
      <c r="L50" s="2">
        <v>1686.2</v>
      </c>
      <c r="M50" s="2">
        <f t="shared" si="2"/>
        <v>-3.3585511233379134E-2</v>
      </c>
      <c r="N50" s="2">
        <f t="shared" si="7"/>
        <v>14.328861911987861</v>
      </c>
      <c r="O50" s="2"/>
      <c r="P50" s="1">
        <v>45789</v>
      </c>
      <c r="Q50" s="2">
        <v>12616</v>
      </c>
      <c r="R50">
        <f t="shared" si="3"/>
        <v>2.9877551020408163E-2</v>
      </c>
      <c r="S50">
        <f t="shared" si="8"/>
        <v>21.399285979677881</v>
      </c>
      <c r="U50" s="1">
        <v>45789</v>
      </c>
      <c r="V50" s="2">
        <v>11736</v>
      </c>
      <c r="W50">
        <f t="shared" si="4"/>
        <v>3.2734952481520592E-2</v>
      </c>
      <c r="X50">
        <f t="shared" si="9"/>
        <v>24.712925873282522</v>
      </c>
      <c r="Z50" s="2">
        <f t="shared" si="10"/>
        <v>103.78745113596295</v>
      </c>
      <c r="AA50" s="3">
        <f t="shared" si="11"/>
        <v>1.2829282979097245E-2</v>
      </c>
    </row>
    <row r="51" spans="1:27" x14ac:dyDescent="0.3">
      <c r="A51" s="1">
        <v>45786</v>
      </c>
      <c r="B51" s="2">
        <v>1507.6</v>
      </c>
      <c r="C51" s="4">
        <f t="shared" si="0"/>
        <v>-2.5142252216489224E-3</v>
      </c>
      <c r="D51" s="4">
        <f t="shared" si="5"/>
        <v>14.526554440854728</v>
      </c>
      <c r="E51" s="4"/>
      <c r="F51" s="1">
        <v>45789</v>
      </c>
      <c r="G51">
        <v>801.65</v>
      </c>
      <c r="H51">
        <f t="shared" si="1"/>
        <v>2.8745588707090122E-2</v>
      </c>
      <c r="I51">
        <f t="shared" si="6"/>
        <v>29.610598096320512</v>
      </c>
      <c r="K51" s="1">
        <v>45790</v>
      </c>
      <c r="L51" s="2">
        <v>1700</v>
      </c>
      <c r="M51" s="2">
        <f t="shared" si="2"/>
        <v>8.18408255248485E-3</v>
      </c>
      <c r="N51" s="2">
        <f t="shared" si="7"/>
        <v>14.446130500758725</v>
      </c>
      <c r="O51" s="2"/>
      <c r="P51" s="1">
        <v>45790</v>
      </c>
      <c r="Q51" s="2">
        <v>12482</v>
      </c>
      <c r="R51">
        <f t="shared" si="3"/>
        <v>-1.062143310082435E-2</v>
      </c>
      <c r="S51">
        <f t="shared" si="8"/>
        <v>21.171994895239326</v>
      </c>
      <c r="U51" s="1">
        <v>45790</v>
      </c>
      <c r="V51" s="2">
        <v>11661</v>
      </c>
      <c r="W51">
        <f t="shared" si="4"/>
        <v>-6.3905930470347649E-3</v>
      </c>
      <c r="X51">
        <f t="shared" si="9"/>
        <v>24.55499562102484</v>
      </c>
      <c r="Z51" s="2">
        <f t="shared" si="10"/>
        <v>104.31027355419813</v>
      </c>
      <c r="AA51" s="3">
        <f t="shared" si="11"/>
        <v>5.0374338372591865E-3</v>
      </c>
    </row>
    <row r="52" spans="1:27" x14ac:dyDescent="0.3">
      <c r="A52" s="1">
        <v>45789</v>
      </c>
      <c r="B52" s="2">
        <v>1626.9</v>
      </c>
      <c r="C52" s="4">
        <f t="shared" si="0"/>
        <v>7.9132395860971205E-2</v>
      </c>
      <c r="D52" s="4">
        <f t="shared" si="5"/>
        <v>15.676075497364392</v>
      </c>
      <c r="E52" s="4"/>
      <c r="F52" s="1">
        <v>45790</v>
      </c>
      <c r="G52">
        <v>801.75</v>
      </c>
      <c r="H52">
        <f t="shared" si="1"/>
        <v>1.2474271814385672E-4</v>
      </c>
      <c r="I52">
        <f t="shared" si="6"/>
        <v>29.614291802812915</v>
      </c>
      <c r="K52" s="1">
        <v>45791</v>
      </c>
      <c r="L52" s="2">
        <v>1708.2</v>
      </c>
      <c r="M52" s="2">
        <f t="shared" si="2"/>
        <v>4.8235294117647326E-3</v>
      </c>
      <c r="N52" s="2">
        <f t="shared" si="7"/>
        <v>14.515811836115326</v>
      </c>
      <c r="O52" s="2"/>
      <c r="P52" s="1">
        <v>45791</v>
      </c>
      <c r="Q52" s="2">
        <v>12670</v>
      </c>
      <c r="R52">
        <f t="shared" si="3"/>
        <v>1.5061688831917962E-2</v>
      </c>
      <c r="S52">
        <f t="shared" si="8"/>
        <v>21.490880894302375</v>
      </c>
      <c r="U52" s="1">
        <v>45791</v>
      </c>
      <c r="V52" s="2">
        <v>11672</v>
      </c>
      <c r="W52">
        <f t="shared" si="4"/>
        <v>9.433153245862276E-4</v>
      </c>
      <c r="X52">
        <f t="shared" si="9"/>
        <v>24.578158724689299</v>
      </c>
      <c r="Z52" s="2">
        <f t="shared" si="10"/>
        <v>105.87521875528431</v>
      </c>
      <c r="AA52" s="3">
        <f t="shared" si="11"/>
        <v>1.5002790691302836E-2</v>
      </c>
    </row>
    <row r="53" spans="1:27" x14ac:dyDescent="0.3">
      <c r="A53" s="1">
        <v>45790</v>
      </c>
      <c r="B53" s="2">
        <v>1568.6</v>
      </c>
      <c r="C53" s="4">
        <f t="shared" si="0"/>
        <v>-3.583502366463838E-2</v>
      </c>
      <c r="D53" s="4">
        <f t="shared" si="5"/>
        <v>15.11432296094768</v>
      </c>
      <c r="E53" s="4"/>
      <c r="F53" s="1">
        <v>45791</v>
      </c>
      <c r="G53">
        <v>800.7</v>
      </c>
      <c r="H53">
        <f t="shared" si="1"/>
        <v>-1.3096351730588769E-3</v>
      </c>
      <c r="I53">
        <f t="shared" si="6"/>
        <v>29.575507884642718</v>
      </c>
      <c r="K53" s="1">
        <v>45792</v>
      </c>
      <c r="L53" s="2">
        <v>1740.1</v>
      </c>
      <c r="M53" s="2">
        <f t="shared" si="2"/>
        <v>1.867462826366928E-2</v>
      </c>
      <c r="N53" s="2">
        <f t="shared" si="7"/>
        <v>14.786889226100152</v>
      </c>
      <c r="O53" s="2"/>
      <c r="P53" s="1">
        <v>45792</v>
      </c>
      <c r="Q53" s="2">
        <v>12952</v>
      </c>
      <c r="R53">
        <f t="shared" si="3"/>
        <v>2.2257300710339385E-2</v>
      </c>
      <c r="S53">
        <f t="shared" si="8"/>
        <v>21.969209892896952</v>
      </c>
      <c r="U53" s="1">
        <v>45792</v>
      </c>
      <c r="V53" s="2">
        <v>11894</v>
      </c>
      <c r="W53">
        <f t="shared" si="4"/>
        <v>1.9019876627827278E-2</v>
      </c>
      <c r="X53">
        <f t="shared" si="9"/>
        <v>25.045632271372046</v>
      </c>
      <c r="Z53" s="2">
        <f t="shared" si="10"/>
        <v>106.49156223595955</v>
      </c>
      <c r="AA53" s="3">
        <f t="shared" si="11"/>
        <v>5.8214139996237702E-3</v>
      </c>
    </row>
    <row r="54" spans="1:27" x14ac:dyDescent="0.3">
      <c r="A54" s="1">
        <v>45791</v>
      </c>
      <c r="B54" s="2">
        <v>1592.4</v>
      </c>
      <c r="C54" s="4">
        <f t="shared" si="0"/>
        <v>1.5172765523396777E-2</v>
      </c>
      <c r="D54" s="4">
        <f t="shared" si="5"/>
        <v>15.343649039279033</v>
      </c>
      <c r="E54" s="4"/>
      <c r="F54" s="1">
        <v>45792</v>
      </c>
      <c r="G54">
        <v>807.75</v>
      </c>
      <c r="H54">
        <f t="shared" si="1"/>
        <v>8.8047958036717305E-3</v>
      </c>
      <c r="I54">
        <f t="shared" si="6"/>
        <v>29.835914192356878</v>
      </c>
      <c r="K54" s="1">
        <v>45793</v>
      </c>
      <c r="L54" s="2">
        <v>1734.9</v>
      </c>
      <c r="M54" s="2">
        <f t="shared" si="2"/>
        <v>-2.9883340037927812E-3</v>
      </c>
      <c r="N54" s="2">
        <f t="shared" si="7"/>
        <v>14.742701062215479</v>
      </c>
      <c r="O54" s="2"/>
      <c r="P54" s="1">
        <v>45793</v>
      </c>
      <c r="Q54" s="2">
        <v>12995</v>
      </c>
      <c r="R54">
        <f t="shared" si="3"/>
        <v>3.3199505867819641E-3</v>
      </c>
      <c r="S54">
        <f t="shared" si="8"/>
        <v>22.042146584172013</v>
      </c>
      <c r="U54" s="1">
        <v>45793</v>
      </c>
      <c r="V54" s="2">
        <v>11905</v>
      </c>
      <c r="W54">
        <f t="shared" si="4"/>
        <v>9.2483605179081887E-4</v>
      </c>
      <c r="X54">
        <f t="shared" si="9"/>
        <v>25.068795375036508</v>
      </c>
      <c r="Z54" s="2">
        <f t="shared" si="10"/>
        <v>107.03320625305992</v>
      </c>
      <c r="AA54" s="3">
        <f t="shared" si="11"/>
        <v>5.0862622890273101E-3</v>
      </c>
    </row>
    <row r="55" spans="1:27" x14ac:dyDescent="0.3">
      <c r="A55" s="1">
        <v>45792</v>
      </c>
      <c r="B55" s="2">
        <v>1613</v>
      </c>
      <c r="C55" s="4">
        <f t="shared" si="0"/>
        <v>1.2936448128610844E-2</v>
      </c>
      <c r="D55" s="4">
        <f t="shared" si="5"/>
        <v>15.542141359179277</v>
      </c>
      <c r="E55" s="4"/>
      <c r="F55" s="1">
        <v>45793</v>
      </c>
      <c r="G55">
        <v>792.1</v>
      </c>
      <c r="H55">
        <f t="shared" si="1"/>
        <v>-1.9374806561436059E-2</v>
      </c>
      <c r="I55">
        <f t="shared" si="6"/>
        <v>29.257849126296357</v>
      </c>
      <c r="K55" s="1">
        <v>45796</v>
      </c>
      <c r="L55" s="2">
        <v>1730.2</v>
      </c>
      <c r="M55" s="2">
        <f t="shared" si="2"/>
        <v>-2.7090898610871205E-3</v>
      </c>
      <c r="N55" s="2">
        <f t="shared" si="7"/>
        <v>14.702761760242794</v>
      </c>
      <c r="O55" s="2"/>
      <c r="P55" s="1">
        <v>45796</v>
      </c>
      <c r="Q55" s="2">
        <v>12989</v>
      </c>
      <c r="R55">
        <f t="shared" si="3"/>
        <v>-4.61716044632551E-4</v>
      </c>
      <c r="S55">
        <f t="shared" si="8"/>
        <v>22.031969371435959</v>
      </c>
      <c r="U55" s="1">
        <v>45796</v>
      </c>
      <c r="V55" s="2">
        <v>11929</v>
      </c>
      <c r="W55">
        <f t="shared" si="4"/>
        <v>2.0159596808063838E-3</v>
      </c>
      <c r="X55">
        <f t="shared" si="9"/>
        <v>25.119333055758968</v>
      </c>
      <c r="Z55" s="2">
        <f t="shared" si="10"/>
        <v>106.65405467291336</v>
      </c>
      <c r="AA55" s="3">
        <f t="shared" si="11"/>
        <v>-3.5423733756991815E-3</v>
      </c>
    </row>
    <row r="56" spans="1:27" x14ac:dyDescent="0.3">
      <c r="A56" s="1">
        <v>45793</v>
      </c>
      <c r="B56" s="2">
        <v>1589.9</v>
      </c>
      <c r="C56" s="4">
        <f t="shared" si="0"/>
        <v>-1.432114073155605E-2</v>
      </c>
      <c r="D56" s="4">
        <f t="shared" si="5"/>
        <v>15.319560165504733</v>
      </c>
      <c r="E56" s="4"/>
      <c r="F56" s="1">
        <v>45796</v>
      </c>
      <c r="G56">
        <v>795</v>
      </c>
      <c r="H56">
        <f t="shared" si="1"/>
        <v>3.661153894710235E-3</v>
      </c>
      <c r="I56">
        <f t="shared" si="6"/>
        <v>29.364966614575941</v>
      </c>
      <c r="K56" s="1">
        <v>45797</v>
      </c>
      <c r="L56" s="2">
        <v>1707.8</v>
      </c>
      <c r="M56" s="2">
        <f t="shared" si="2"/>
        <v>-1.2946480175702282E-2</v>
      </c>
      <c r="N56" s="2">
        <f t="shared" si="7"/>
        <v>14.512412746585737</v>
      </c>
      <c r="O56" s="2"/>
      <c r="P56" s="1">
        <v>45797</v>
      </c>
      <c r="Q56" s="2">
        <v>12638</v>
      </c>
      <c r="R56">
        <f t="shared" si="3"/>
        <v>-2.7022865501578258E-2</v>
      </c>
      <c r="S56">
        <f t="shared" si="8"/>
        <v>21.436602426376755</v>
      </c>
      <c r="U56" s="1">
        <v>45797</v>
      </c>
      <c r="V56" s="2">
        <v>11697</v>
      </c>
      <c r="W56">
        <f t="shared" si="4"/>
        <v>-1.9448403051387377E-2</v>
      </c>
      <c r="X56">
        <f t="shared" si="9"/>
        <v>24.630802142108529</v>
      </c>
      <c r="Z56" s="2">
        <f t="shared" si="10"/>
        <v>105.2643440951517</v>
      </c>
      <c r="AA56" s="3">
        <f t="shared" si="11"/>
        <v>-1.303007730951844E-2</v>
      </c>
    </row>
    <row r="57" spans="1:27" x14ac:dyDescent="0.3">
      <c r="A57" s="1">
        <v>45796</v>
      </c>
      <c r="B57" s="2">
        <v>1559.8</v>
      </c>
      <c r="C57" s="4">
        <f t="shared" si="0"/>
        <v>-1.8932008302409042E-2</v>
      </c>
      <c r="D57" s="4">
        <f t="shared" si="5"/>
        <v>15.029530125262141</v>
      </c>
      <c r="E57" s="4"/>
      <c r="F57" s="1">
        <v>45797</v>
      </c>
      <c r="G57">
        <v>785.65</v>
      </c>
      <c r="H57">
        <f t="shared" si="1"/>
        <v>-1.1761006289308205E-2</v>
      </c>
      <c r="I57">
        <f t="shared" si="6"/>
        <v>29.019605057536587</v>
      </c>
      <c r="K57" s="1">
        <v>45798</v>
      </c>
      <c r="L57" s="2">
        <v>1731.8</v>
      </c>
      <c r="M57" s="2">
        <f t="shared" si="2"/>
        <v>1.4053167818245697E-2</v>
      </c>
      <c r="N57" s="2">
        <f t="shared" si="7"/>
        <v>14.716358118361153</v>
      </c>
      <c r="O57" s="2"/>
      <c r="P57" s="1">
        <v>45798</v>
      </c>
      <c r="Q57" s="2">
        <v>12615</v>
      </c>
      <c r="R57">
        <f t="shared" si="3"/>
        <v>-1.8199082133248932E-3</v>
      </c>
      <c r="S57">
        <f t="shared" si="8"/>
        <v>21.397589777555211</v>
      </c>
      <c r="U57" s="1">
        <v>45798</v>
      </c>
      <c r="V57" s="2">
        <v>11666</v>
      </c>
      <c r="W57">
        <f t="shared" si="4"/>
        <v>-2.6502522014191674E-3</v>
      </c>
      <c r="X57">
        <f t="shared" si="9"/>
        <v>24.565524304508685</v>
      </c>
      <c r="Z57" s="2">
        <f t="shared" si="10"/>
        <v>104.72860738322377</v>
      </c>
      <c r="AA57" s="3">
        <f t="shared" si="11"/>
        <v>-5.0894414108889618E-3</v>
      </c>
    </row>
    <row r="58" spans="1:27" x14ac:dyDescent="0.3">
      <c r="A58" s="1">
        <v>45797</v>
      </c>
      <c r="B58" s="2">
        <v>1560.6</v>
      </c>
      <c r="C58" s="4">
        <f t="shared" si="0"/>
        <v>5.1288626747015935E-4</v>
      </c>
      <c r="D58" s="4">
        <f t="shared" si="5"/>
        <v>15.037238564869917</v>
      </c>
      <c r="E58" s="4"/>
      <c r="F58" s="1">
        <v>45798</v>
      </c>
      <c r="G58">
        <v>787.1</v>
      </c>
      <c r="H58">
        <f t="shared" si="1"/>
        <v>1.8456055495450208E-3</v>
      </c>
      <c r="I58">
        <f t="shared" si="6"/>
        <v>29.073163801676383</v>
      </c>
      <c r="K58" s="1">
        <v>45799</v>
      </c>
      <c r="L58" s="2">
        <v>1718.7</v>
      </c>
      <c r="M58" s="2">
        <f t="shared" si="2"/>
        <v>-7.5643838780459112E-3</v>
      </c>
      <c r="N58" s="2">
        <f t="shared" si="7"/>
        <v>14.605037936267072</v>
      </c>
      <c r="O58" s="2"/>
      <c r="P58" s="1">
        <v>45799</v>
      </c>
      <c r="Q58" s="2">
        <v>12445</v>
      </c>
      <c r="R58">
        <f t="shared" si="3"/>
        <v>-1.3476020610384463E-2</v>
      </c>
      <c r="S58">
        <f t="shared" si="8"/>
        <v>21.109235416700326</v>
      </c>
      <c r="U58" s="1">
        <v>45799</v>
      </c>
      <c r="V58" s="2">
        <v>11680</v>
      </c>
      <c r="W58">
        <f t="shared" si="4"/>
        <v>1.2000685753471626E-3</v>
      </c>
      <c r="X58">
        <f t="shared" si="9"/>
        <v>24.595004618263456</v>
      </c>
      <c r="Z58" s="2">
        <f t="shared" si="10"/>
        <v>104.41968033777715</v>
      </c>
      <c r="AA58" s="3">
        <f t="shared" si="11"/>
        <v>-2.9497866262672146E-3</v>
      </c>
    </row>
    <row r="59" spans="1:27" x14ac:dyDescent="0.3">
      <c r="A59" s="1">
        <v>45798</v>
      </c>
      <c r="B59" s="2">
        <v>1568.5</v>
      </c>
      <c r="C59" s="4">
        <f t="shared" si="0"/>
        <v>5.0621555811867815E-3</v>
      </c>
      <c r="D59" s="4">
        <f t="shared" si="5"/>
        <v>15.113359405996709</v>
      </c>
      <c r="E59" s="4"/>
      <c r="F59" s="1">
        <v>45799</v>
      </c>
      <c r="G59">
        <v>785.25</v>
      </c>
      <c r="H59">
        <f t="shared" si="1"/>
        <v>-2.3504002032778844E-3</v>
      </c>
      <c r="I59">
        <f t="shared" si="6"/>
        <v>29.004830231566991</v>
      </c>
      <c r="K59" s="1">
        <v>45800</v>
      </c>
      <c r="L59" s="2">
        <v>1683.6</v>
      </c>
      <c r="M59" s="2">
        <f t="shared" si="2"/>
        <v>-2.0422412288357557E-2</v>
      </c>
      <c r="N59" s="2">
        <f t="shared" si="7"/>
        <v>14.306767830045525</v>
      </c>
      <c r="O59" s="2"/>
      <c r="P59" s="1">
        <v>45800</v>
      </c>
      <c r="Q59" s="2">
        <v>12453</v>
      </c>
      <c r="R59">
        <f t="shared" si="3"/>
        <v>6.4282844515869823E-4</v>
      </c>
      <c r="S59">
        <f t="shared" si="8"/>
        <v>21.122805033681733</v>
      </c>
      <c r="U59" s="1">
        <v>45800</v>
      </c>
      <c r="V59" s="2">
        <v>11746</v>
      </c>
      <c r="W59">
        <f t="shared" si="4"/>
        <v>5.6506849315068495E-3</v>
      </c>
      <c r="X59">
        <f t="shared" si="9"/>
        <v>24.733983240250218</v>
      </c>
      <c r="Z59" s="2">
        <f t="shared" si="10"/>
        <v>104.28174574154119</v>
      </c>
      <c r="AA59" s="3">
        <f t="shared" si="11"/>
        <v>-1.3209635941210385E-3</v>
      </c>
    </row>
    <row r="60" spans="1:27" x14ac:dyDescent="0.3">
      <c r="A60" s="1">
        <v>45799</v>
      </c>
      <c r="B60" s="2">
        <v>1547.5</v>
      </c>
      <c r="C60" s="4">
        <f t="shared" si="0"/>
        <v>-1.33885878227606E-2</v>
      </c>
      <c r="D60" s="4">
        <f t="shared" si="5"/>
        <v>14.911012866292577</v>
      </c>
      <c r="E60" s="4"/>
      <c r="F60" s="1">
        <v>45800</v>
      </c>
      <c r="G60">
        <v>790.5</v>
      </c>
      <c r="H60">
        <f t="shared" si="1"/>
        <v>6.6857688634192934E-3</v>
      </c>
      <c r="I60">
        <f t="shared" si="6"/>
        <v>29.198749822417962</v>
      </c>
      <c r="K60" s="1">
        <v>45803</v>
      </c>
      <c r="L60" s="2">
        <v>1676.1</v>
      </c>
      <c r="M60" s="2">
        <f t="shared" si="2"/>
        <v>-4.4547398431931578E-3</v>
      </c>
      <c r="N60" s="2">
        <f t="shared" si="7"/>
        <v>14.243034901365707</v>
      </c>
      <c r="O60" s="2"/>
      <c r="P60" s="1">
        <v>45803</v>
      </c>
      <c r="Q60" s="2">
        <v>12421</v>
      </c>
      <c r="R60">
        <f t="shared" si="3"/>
        <v>-2.5696619288524854E-3</v>
      </c>
      <c r="S60">
        <f t="shared" si="8"/>
        <v>21.068526565756109</v>
      </c>
      <c r="U60" s="1">
        <v>45803</v>
      </c>
      <c r="V60" s="2">
        <v>11689</v>
      </c>
      <c r="W60">
        <f t="shared" si="4"/>
        <v>-4.8527158181508601E-3</v>
      </c>
      <c r="X60">
        <f t="shared" si="9"/>
        <v>24.613956248534379</v>
      </c>
      <c r="Z60" s="2">
        <f t="shared" si="10"/>
        <v>104.03528040436674</v>
      </c>
      <c r="AA60" s="3">
        <f t="shared" si="11"/>
        <v>-2.3634561871000992E-3</v>
      </c>
    </row>
    <row r="61" spans="1:27" x14ac:dyDescent="0.3">
      <c r="A61" s="1">
        <v>45800</v>
      </c>
      <c r="B61" s="2">
        <v>1564.8</v>
      </c>
      <c r="C61" s="4">
        <f t="shared" si="0"/>
        <v>1.1179321486268145E-2</v>
      </c>
      <c r="D61" s="4">
        <f t="shared" si="5"/>
        <v>15.077707872810741</v>
      </c>
      <c r="E61" s="4"/>
      <c r="F61" s="1">
        <v>45803</v>
      </c>
      <c r="G61">
        <v>794.4</v>
      </c>
      <c r="H61">
        <f t="shared" si="1"/>
        <v>4.933586337760882E-3</v>
      </c>
      <c r="I61">
        <f t="shared" si="6"/>
        <v>29.34280437562154</v>
      </c>
      <c r="K61" s="1">
        <v>45804</v>
      </c>
      <c r="L61" s="2">
        <v>1683.4</v>
      </c>
      <c r="M61" s="2">
        <f t="shared" si="2"/>
        <v>4.3553487262097618E-3</v>
      </c>
      <c r="N61" s="2">
        <f t="shared" si="7"/>
        <v>14.305068285280733</v>
      </c>
      <c r="O61" s="2"/>
      <c r="P61" s="1">
        <v>45804</v>
      </c>
      <c r="Q61" s="2">
        <v>12414</v>
      </c>
      <c r="R61">
        <f t="shared" si="3"/>
        <v>-5.6356171000724578E-4</v>
      </c>
      <c r="S61">
        <f t="shared" si="8"/>
        <v>21.056653150897379</v>
      </c>
      <c r="U61" s="1">
        <v>45804</v>
      </c>
      <c r="V61" s="2">
        <v>11421</v>
      </c>
      <c r="W61">
        <f t="shared" si="4"/>
        <v>-2.2927538711609206E-2</v>
      </c>
      <c r="X61">
        <f t="shared" si="9"/>
        <v>24.049618813800251</v>
      </c>
      <c r="Z61" s="2">
        <f t="shared" si="10"/>
        <v>103.83185249841064</v>
      </c>
      <c r="AA61" s="3">
        <f t="shared" si="11"/>
        <v>-1.9553742265644436E-3</v>
      </c>
    </row>
    <row r="62" spans="1:27" x14ac:dyDescent="0.3">
      <c r="A62" s="1">
        <v>45803</v>
      </c>
      <c r="B62" s="2">
        <v>1580.5</v>
      </c>
      <c r="C62" s="4">
        <f t="shared" si="0"/>
        <v>1.003323108384461E-2</v>
      </c>
      <c r="D62" s="4">
        <f t="shared" si="5"/>
        <v>15.228986000113355</v>
      </c>
      <c r="E62" s="4"/>
      <c r="F62" s="1">
        <v>45804</v>
      </c>
      <c r="G62">
        <v>793.7</v>
      </c>
      <c r="H62">
        <f t="shared" si="1"/>
        <v>-8.8116817724059892E-4</v>
      </c>
      <c r="I62">
        <f t="shared" si="6"/>
        <v>29.316948430174747</v>
      </c>
      <c r="K62" s="1">
        <v>45805</v>
      </c>
      <c r="L62" s="2">
        <v>1666.4</v>
      </c>
      <c r="M62" s="2">
        <f t="shared" si="2"/>
        <v>-1.0098609956041345E-2</v>
      </c>
      <c r="N62" s="2">
        <f t="shared" si="7"/>
        <v>14.160606980273144</v>
      </c>
      <c r="O62" s="2"/>
      <c r="P62" s="1">
        <v>45805</v>
      </c>
      <c r="Q62" s="2">
        <v>12331</v>
      </c>
      <c r="R62">
        <f t="shared" si="3"/>
        <v>-6.6859996777831479E-3</v>
      </c>
      <c r="S62">
        <f t="shared" si="8"/>
        <v>20.915868374715288</v>
      </c>
      <c r="U62" s="1">
        <v>45805</v>
      </c>
      <c r="V62" s="2">
        <v>11238</v>
      </c>
      <c r="W62">
        <f t="shared" si="4"/>
        <v>-1.6023115313895456E-2</v>
      </c>
      <c r="X62">
        <f t="shared" si="9"/>
        <v>23.664268998291501</v>
      </c>
      <c r="Z62" s="2">
        <f t="shared" si="10"/>
        <v>103.28667878356804</v>
      </c>
      <c r="AA62" s="3">
        <f t="shared" si="11"/>
        <v>-5.2505440452480512E-3</v>
      </c>
    </row>
    <row r="63" spans="1:27" x14ac:dyDescent="0.3">
      <c r="A63" s="1">
        <v>45804</v>
      </c>
      <c r="B63" s="2">
        <v>1570.1</v>
      </c>
      <c r="C63" s="4">
        <f t="shared" si="0"/>
        <v>-6.5801961404619363E-3</v>
      </c>
      <c r="D63" s="4">
        <f t="shared" si="5"/>
        <v>15.128776285212261</v>
      </c>
      <c r="E63" s="4"/>
      <c r="F63" s="1">
        <v>45804</v>
      </c>
      <c r="G63">
        <v>793.7</v>
      </c>
      <c r="H63">
        <f t="shared" si="1"/>
        <v>0</v>
      </c>
      <c r="I63">
        <f t="shared" si="6"/>
        <v>29.316948430174747</v>
      </c>
      <c r="K63" s="1">
        <v>45806</v>
      </c>
      <c r="L63" s="2">
        <v>1699.8</v>
      </c>
      <c r="M63" s="2">
        <f t="shared" si="2"/>
        <v>2.0043206913106015E-2</v>
      </c>
      <c r="N63" s="2">
        <f t="shared" si="7"/>
        <v>14.444430955993932</v>
      </c>
      <c r="O63" s="2"/>
      <c r="P63" s="1">
        <v>45806</v>
      </c>
      <c r="Q63" s="2">
        <v>12392</v>
      </c>
      <c r="R63">
        <f t="shared" si="3"/>
        <v>4.9468818425107454E-3</v>
      </c>
      <c r="S63">
        <f t="shared" si="8"/>
        <v>21.019336704198512</v>
      </c>
      <c r="U63" s="1">
        <v>45806</v>
      </c>
      <c r="V63" s="2">
        <v>11269</v>
      </c>
      <c r="W63">
        <f t="shared" si="4"/>
        <v>2.7584979533724864E-3</v>
      </c>
      <c r="X63">
        <f t="shared" si="9"/>
        <v>23.729546835891345</v>
      </c>
      <c r="Z63" s="2">
        <f t="shared" si="10"/>
        <v>103.63903921147079</v>
      </c>
      <c r="AA63" s="3">
        <f t="shared" si="11"/>
        <v>3.4114798931730306E-3</v>
      </c>
    </row>
    <row r="64" spans="1:27" x14ac:dyDescent="0.3">
      <c r="A64" s="1">
        <v>45805</v>
      </c>
      <c r="B64" s="2">
        <v>1571.8</v>
      </c>
      <c r="C64" s="4">
        <f t="shared" si="0"/>
        <v>1.0827335838481916E-3</v>
      </c>
      <c r="D64" s="4">
        <f t="shared" si="5"/>
        <v>15.145156719378786</v>
      </c>
      <c r="E64" s="4"/>
      <c r="F64" s="1">
        <v>45805</v>
      </c>
      <c r="G64">
        <v>796.55</v>
      </c>
      <c r="H64">
        <f t="shared" si="1"/>
        <v>3.5907773718028336E-3</v>
      </c>
      <c r="I64">
        <f t="shared" si="6"/>
        <v>29.422219065208132</v>
      </c>
      <c r="K64" s="1">
        <v>45807</v>
      </c>
      <c r="L64" s="2">
        <v>1677.6</v>
      </c>
      <c r="M64" s="2">
        <f t="shared" si="2"/>
        <v>-1.3060360042357952E-2</v>
      </c>
      <c r="N64" s="2">
        <f t="shared" si="7"/>
        <v>14.25578148710167</v>
      </c>
      <c r="O64" s="2"/>
      <c r="P64" s="1">
        <v>45807</v>
      </c>
      <c r="Q64" s="2">
        <v>12319</v>
      </c>
      <c r="R64">
        <f t="shared" si="3"/>
        <v>-5.8908973531310522E-3</v>
      </c>
      <c r="S64">
        <f t="shared" si="8"/>
        <v>20.895513949243178</v>
      </c>
      <c r="U64" s="1">
        <v>45807</v>
      </c>
      <c r="V64" s="2">
        <v>11210</v>
      </c>
      <c r="W64">
        <f t="shared" si="4"/>
        <v>-5.235602094240838E-3</v>
      </c>
      <c r="X64">
        <f t="shared" si="9"/>
        <v>23.605308370781966</v>
      </c>
      <c r="Z64" s="2">
        <f t="shared" si="10"/>
        <v>103.32397959171374</v>
      </c>
      <c r="AA64" s="3">
        <f t="shared" si="11"/>
        <v>-3.0399704797936522E-3</v>
      </c>
    </row>
    <row r="65" spans="1:27" x14ac:dyDescent="0.3">
      <c r="A65" s="1">
        <v>45806</v>
      </c>
      <c r="B65" s="2">
        <v>1585.6</v>
      </c>
      <c r="C65" s="4">
        <f t="shared" si="0"/>
        <v>8.7797429698434626E-3</v>
      </c>
      <c r="D65" s="4">
        <f t="shared" si="5"/>
        <v>15.27812730261293</v>
      </c>
      <c r="E65" s="4"/>
      <c r="F65" s="1">
        <v>45806</v>
      </c>
      <c r="G65">
        <v>797.35</v>
      </c>
      <c r="H65">
        <f t="shared" si="1"/>
        <v>1.0043311782060992E-3</v>
      </c>
      <c r="I65">
        <f t="shared" si="6"/>
        <v>29.451768717147335</v>
      </c>
      <c r="K65" s="1">
        <v>45810</v>
      </c>
      <c r="L65" s="2">
        <v>1674.6</v>
      </c>
      <c r="M65" s="2">
        <f t="shared" si="2"/>
        <v>-1.7882689556509299E-3</v>
      </c>
      <c r="N65" s="2">
        <f t="shared" si="7"/>
        <v>14.230288315629743</v>
      </c>
      <c r="O65" s="2"/>
      <c r="P65" s="1">
        <v>45810</v>
      </c>
      <c r="Q65" s="2">
        <v>12290</v>
      </c>
      <c r="R65">
        <f t="shared" si="3"/>
        <v>-2.3540871824011688E-3</v>
      </c>
      <c r="S65">
        <f t="shared" si="8"/>
        <v>20.846324087685581</v>
      </c>
      <c r="U65" s="1">
        <v>45810</v>
      </c>
      <c r="V65" s="2">
        <v>11195</v>
      </c>
      <c r="W65">
        <f t="shared" si="4"/>
        <v>-1.3380909901873326E-3</v>
      </c>
      <c r="X65">
        <f t="shared" si="9"/>
        <v>23.573722320330429</v>
      </c>
      <c r="Z65" s="2">
        <f t="shared" si="10"/>
        <v>103.38023074340602</v>
      </c>
      <c r="AA65" s="3">
        <f t="shared" si="11"/>
        <v>5.4441526463233636E-4</v>
      </c>
    </row>
    <row r="66" spans="1:27" x14ac:dyDescent="0.3">
      <c r="A66" s="1">
        <v>45807</v>
      </c>
      <c r="B66" s="2">
        <v>1562.7</v>
      </c>
      <c r="C66" s="4">
        <f t="shared" si="0"/>
        <v>-1.4442482341069542E-2</v>
      </c>
      <c r="D66" s="4">
        <f t="shared" si="5"/>
        <v>15.057473218840329</v>
      </c>
      <c r="E66" s="4"/>
      <c r="F66" s="1">
        <v>45807</v>
      </c>
      <c r="G66">
        <v>812.3</v>
      </c>
      <c r="H66">
        <f t="shared" si="1"/>
        <v>1.8749608076754163E-2</v>
      </c>
      <c r="I66">
        <f t="shared" si="6"/>
        <v>30.003977837761056</v>
      </c>
      <c r="K66" s="1">
        <v>45811</v>
      </c>
      <c r="L66" s="2">
        <v>1667.5</v>
      </c>
      <c r="M66" s="2">
        <f t="shared" si="2"/>
        <v>-4.2398184641107787E-3</v>
      </c>
      <c r="N66" s="2">
        <f t="shared" si="7"/>
        <v>14.169954476479516</v>
      </c>
      <c r="O66" s="2"/>
      <c r="P66" s="1">
        <v>45811</v>
      </c>
      <c r="Q66" s="2">
        <v>12128</v>
      </c>
      <c r="R66">
        <f t="shared" si="3"/>
        <v>-1.3181448331977217E-2</v>
      </c>
      <c r="S66">
        <f t="shared" si="8"/>
        <v>20.571539343812102</v>
      </c>
      <c r="U66" s="1">
        <v>45811</v>
      </c>
      <c r="V66" s="2">
        <v>11035</v>
      </c>
      <c r="W66">
        <f t="shared" si="4"/>
        <v>-1.4292094685127288E-2</v>
      </c>
      <c r="X66">
        <f t="shared" si="9"/>
        <v>23.236804448847369</v>
      </c>
      <c r="Z66" s="2">
        <f t="shared" si="10"/>
        <v>103.03974932574037</v>
      </c>
      <c r="AA66" s="3">
        <f t="shared" si="11"/>
        <v>-3.2934867258203049E-3</v>
      </c>
    </row>
    <row r="67" spans="1:27" x14ac:dyDescent="0.3">
      <c r="A67" s="1">
        <v>45810</v>
      </c>
      <c r="B67" s="2">
        <v>1553.8</v>
      </c>
      <c r="C67" s="4">
        <f t="shared" si="0"/>
        <v>-5.6952710053113781E-3</v>
      </c>
      <c r="D67" s="4">
        <f t="shared" si="5"/>
        <v>14.971716828203814</v>
      </c>
      <c r="E67" s="4"/>
      <c r="F67" s="1">
        <v>45810</v>
      </c>
      <c r="G67">
        <v>813.65</v>
      </c>
      <c r="H67">
        <f t="shared" si="1"/>
        <v>1.6619475563215841E-3</v>
      </c>
      <c r="I67">
        <f t="shared" si="6"/>
        <v>30.053842875408449</v>
      </c>
      <c r="K67" s="1">
        <v>45812</v>
      </c>
      <c r="L67" s="2">
        <v>1664.9</v>
      </c>
      <c r="M67" s="2">
        <f t="shared" si="2"/>
        <v>-1.5592203898050429E-3</v>
      </c>
      <c r="N67" s="2">
        <f t="shared" si="7"/>
        <v>14.147860394537179</v>
      </c>
      <c r="O67" s="2"/>
      <c r="P67" s="1">
        <v>45812</v>
      </c>
      <c r="Q67" s="2">
        <v>12163</v>
      </c>
      <c r="R67">
        <f t="shared" si="3"/>
        <v>2.8858839050131925E-3</v>
      </c>
      <c r="S67">
        <f t="shared" si="8"/>
        <v>20.630906418105756</v>
      </c>
      <c r="U67" s="1">
        <v>45812</v>
      </c>
      <c r="V67" s="2">
        <v>11033</v>
      </c>
      <c r="W67">
        <f t="shared" si="4"/>
        <v>-1.8124150430448574E-4</v>
      </c>
      <c r="X67">
        <f t="shared" si="9"/>
        <v>23.23259297545383</v>
      </c>
      <c r="Z67" s="2">
        <f t="shared" si="10"/>
        <v>103.03691949170901</v>
      </c>
      <c r="AA67" s="3">
        <f t="shared" si="11"/>
        <v>-2.7463518204151605E-5</v>
      </c>
    </row>
    <row r="68" spans="1:27" x14ac:dyDescent="0.3">
      <c r="A68" s="1">
        <v>45811</v>
      </c>
      <c r="B68" s="2">
        <v>1543</v>
      </c>
      <c r="C68" s="4">
        <f t="shared" si="0"/>
        <v>-6.9507015059852972E-3</v>
      </c>
      <c r="D68" s="4">
        <f t="shared" si="5"/>
        <v>14.867652893498832</v>
      </c>
      <c r="E68" s="4"/>
      <c r="F68" s="1">
        <v>45811</v>
      </c>
      <c r="G68">
        <v>809.8</v>
      </c>
      <c r="H68">
        <f t="shared" si="1"/>
        <v>-4.731764272107199E-3</v>
      </c>
      <c r="I68">
        <f t="shared" si="6"/>
        <v>29.911635175451067</v>
      </c>
      <c r="K68" s="1">
        <v>45813</v>
      </c>
      <c r="L68" s="2">
        <v>1683.1</v>
      </c>
      <c r="M68" s="2">
        <f t="shared" si="2"/>
        <v>1.0931587482731585E-2</v>
      </c>
      <c r="N68" s="2">
        <f t="shared" si="7"/>
        <v>14.302518968133537</v>
      </c>
      <c r="O68" s="2"/>
      <c r="P68" s="1">
        <v>45813</v>
      </c>
      <c r="Q68" s="2">
        <v>12126</v>
      </c>
      <c r="R68">
        <f t="shared" si="3"/>
        <v>-3.0420126613499958E-3</v>
      </c>
      <c r="S68">
        <f t="shared" si="8"/>
        <v>20.568146939566752</v>
      </c>
      <c r="U68" s="1">
        <v>45813</v>
      </c>
      <c r="V68" s="2">
        <v>11159</v>
      </c>
      <c r="W68">
        <f t="shared" si="4"/>
        <v>1.1420284600743225E-2</v>
      </c>
      <c r="X68">
        <f t="shared" si="9"/>
        <v>23.497915799246741</v>
      </c>
      <c r="Z68" s="2">
        <f t="shared" si="10"/>
        <v>103.14786977589692</v>
      </c>
      <c r="AA68" s="3">
        <f t="shared" si="11"/>
        <v>1.0768012546884531E-3</v>
      </c>
    </row>
    <row r="69" spans="1:27" x14ac:dyDescent="0.3">
      <c r="A69" s="1">
        <v>45812</v>
      </c>
      <c r="B69" s="2">
        <v>1551.2</v>
      </c>
      <c r="C69" s="4">
        <f t="shared" si="0"/>
        <v>5.3143227478937433E-3</v>
      </c>
      <c r="D69" s="4">
        <f t="shared" si="5"/>
        <v>14.946664399478541</v>
      </c>
      <c r="E69" s="4"/>
      <c r="F69" s="1">
        <v>45812</v>
      </c>
      <c r="G69">
        <v>806.5</v>
      </c>
      <c r="H69">
        <f t="shared" si="1"/>
        <v>-4.0750802667324703E-3</v>
      </c>
      <c r="I69">
        <f t="shared" si="6"/>
        <v>29.789742861201887</v>
      </c>
      <c r="K69" s="1">
        <v>45814</v>
      </c>
      <c r="L69" s="2">
        <v>1679.2</v>
      </c>
      <c r="M69" s="2">
        <f t="shared" si="2"/>
        <v>-2.3171528726753394E-3</v>
      </c>
      <c r="N69" s="2">
        <f t="shared" si="7"/>
        <v>14.269377845220033</v>
      </c>
      <c r="O69" s="2"/>
      <c r="P69" s="1">
        <v>45814</v>
      </c>
      <c r="Q69" s="2">
        <v>12462</v>
      </c>
      <c r="R69">
        <f t="shared" si="3"/>
        <v>2.7709054923305294E-2</v>
      </c>
      <c r="S69">
        <f t="shared" si="8"/>
        <v>21.13807085278582</v>
      </c>
      <c r="U69" s="1">
        <v>45814</v>
      </c>
      <c r="V69" s="2">
        <v>11253</v>
      </c>
      <c r="W69">
        <f t="shared" si="4"/>
        <v>8.4236938793798722E-3</v>
      </c>
      <c r="X69">
        <f t="shared" si="9"/>
        <v>23.695855048743038</v>
      </c>
      <c r="Z69" s="2">
        <f t="shared" si="10"/>
        <v>103.83971100742933</v>
      </c>
      <c r="AA69" s="3">
        <f t="shared" si="11"/>
        <v>6.7072760012933941E-3</v>
      </c>
    </row>
    <row r="70" spans="1:27" x14ac:dyDescent="0.3">
      <c r="A70" s="1">
        <v>45813</v>
      </c>
      <c r="B70" s="2">
        <v>1554.3</v>
      </c>
      <c r="C70" s="4">
        <f t="shared" ref="C70:C133" si="12">(B70-B69)/B69</f>
        <v>1.9984528107271204E-3</v>
      </c>
      <c r="D70" s="4">
        <f t="shared" si="5"/>
        <v>14.976534602958674</v>
      </c>
      <c r="E70" s="4"/>
      <c r="F70" s="1">
        <v>45813</v>
      </c>
      <c r="G70">
        <v>806</v>
      </c>
      <c r="H70">
        <f t="shared" ref="H70:H133" si="13">(G70-G69)/G69</f>
        <v>-6.1996280223186606E-4</v>
      </c>
      <c r="I70">
        <f t="shared" si="6"/>
        <v>29.771274328739889</v>
      </c>
      <c r="K70" s="1">
        <v>45817</v>
      </c>
      <c r="L70" s="2">
        <v>1694.4</v>
      </c>
      <c r="M70" s="2">
        <f t="shared" ref="M70:M133" si="14">(L70-L69)/L69</f>
        <v>9.0519294902334721E-3</v>
      </c>
      <c r="N70" s="2">
        <f t="shared" si="7"/>
        <v>14.398543247344463</v>
      </c>
      <c r="O70" s="2"/>
      <c r="P70" s="1">
        <v>45817</v>
      </c>
      <c r="Q70" s="2">
        <v>12637</v>
      </c>
      <c r="R70">
        <f t="shared" ref="R70:R133" si="15">(Q70-Q69)/Q69</f>
        <v>1.4042689776921842E-2</v>
      </c>
      <c r="S70">
        <f t="shared" si="8"/>
        <v>21.434906224254085</v>
      </c>
      <c r="U70" s="1">
        <v>45817</v>
      </c>
      <c r="V70" s="2">
        <v>11260</v>
      </c>
      <c r="W70">
        <f t="shared" ref="W70:W133" si="16">(V70-V69)/V69</f>
        <v>6.2205634053141389E-4</v>
      </c>
      <c r="X70">
        <f t="shared" si="9"/>
        <v>23.710595205620422</v>
      </c>
      <c r="Z70" s="2">
        <f t="shared" si="10"/>
        <v>104.29185360891753</v>
      </c>
      <c r="AA70" s="3">
        <f t="shared" ref="AA70:AA133" si="17">Z70/Z69-1</f>
        <v>4.3542359382708895E-3</v>
      </c>
    </row>
    <row r="71" spans="1:27" x14ac:dyDescent="0.3">
      <c r="A71" s="1">
        <v>45814</v>
      </c>
      <c r="B71" s="2">
        <v>1563.8</v>
      </c>
      <c r="C71" s="4">
        <f t="shared" si="12"/>
        <v>6.1120761757704435E-3</v>
      </c>
      <c r="D71" s="4">
        <f t="shared" ref="D71:D134" si="18">D70*(1+C71)</f>
        <v>15.068072323301021</v>
      </c>
      <c r="E71" s="4"/>
      <c r="F71" s="1">
        <v>45814</v>
      </c>
      <c r="G71">
        <v>813.05</v>
      </c>
      <c r="H71">
        <f t="shared" si="13"/>
        <v>8.7468982630272384E-3</v>
      </c>
      <c r="I71">
        <f t="shared" ref="I71:I134" si="19">I70*(1+H71)</f>
        <v>30.031680636454052</v>
      </c>
      <c r="K71" s="1">
        <v>45818</v>
      </c>
      <c r="L71" s="2">
        <v>1688.8</v>
      </c>
      <c r="M71" s="2">
        <f t="shared" si="14"/>
        <v>-3.3050047214353965E-3</v>
      </c>
      <c r="N71" s="2">
        <f t="shared" ref="N71:N134" si="20">N70*(1+M71)</f>
        <v>14.350955993930199</v>
      </c>
      <c r="O71" s="2"/>
      <c r="P71" s="1">
        <v>45818</v>
      </c>
      <c r="Q71" s="2">
        <v>12520</v>
      </c>
      <c r="R71">
        <f t="shared" si="15"/>
        <v>-9.2585265490227105E-3</v>
      </c>
      <c r="S71">
        <f t="shared" ref="S71:S134" si="21">S70*(1+R71)</f>
        <v>21.236450575901017</v>
      </c>
      <c r="U71" s="1">
        <v>45818</v>
      </c>
      <c r="V71" s="2">
        <v>11391</v>
      </c>
      <c r="W71">
        <f t="shared" si="16"/>
        <v>1.1634103019538189E-2</v>
      </c>
      <c r="X71">
        <f t="shared" ref="X71:X134" si="22">X70*(1+W71)</f>
        <v>23.986446712897177</v>
      </c>
      <c r="Z71" s="2">
        <f t="shared" ref="Z71:Z134" si="23">D71+I71+N71+S71+X71</f>
        <v>104.67360624248347</v>
      </c>
      <c r="AA71" s="3">
        <f t="shared" si="17"/>
        <v>3.6604262016233235E-3</v>
      </c>
    </row>
    <row r="72" spans="1:27" x14ac:dyDescent="0.3">
      <c r="A72" s="1">
        <v>45817</v>
      </c>
      <c r="B72" s="2">
        <v>1572.9</v>
      </c>
      <c r="C72" s="4">
        <f t="shared" si="12"/>
        <v>5.8191584601612334E-3</v>
      </c>
      <c r="D72" s="4">
        <f t="shared" si="18"/>
        <v>15.155755823839479</v>
      </c>
      <c r="E72" s="4"/>
      <c r="F72" s="1">
        <v>45817</v>
      </c>
      <c r="G72">
        <v>820.05</v>
      </c>
      <c r="H72">
        <f t="shared" si="13"/>
        <v>8.6095566078346966E-3</v>
      </c>
      <c r="I72">
        <f t="shared" si="19"/>
        <v>30.290240090922019</v>
      </c>
      <c r="K72" s="1">
        <v>45819</v>
      </c>
      <c r="L72" s="2">
        <v>1690.6</v>
      </c>
      <c r="M72" s="2">
        <f t="shared" si="14"/>
        <v>1.0658455708194899E-3</v>
      </c>
      <c r="N72" s="2">
        <f t="shared" si="20"/>
        <v>14.366251896813354</v>
      </c>
      <c r="O72" s="2"/>
      <c r="P72" s="1">
        <v>45819</v>
      </c>
      <c r="Q72" s="2">
        <v>12452</v>
      </c>
      <c r="R72">
        <f t="shared" si="15"/>
        <v>-5.4313099041533542E-3</v>
      </c>
      <c r="S72">
        <f t="shared" si="21"/>
        <v>21.121108831559063</v>
      </c>
      <c r="U72" s="1">
        <v>45819</v>
      </c>
      <c r="V72" s="2">
        <v>11464</v>
      </c>
      <c r="W72">
        <f t="shared" si="16"/>
        <v>6.4085681678518131E-3</v>
      </c>
      <c r="X72">
        <f t="shared" si="22"/>
        <v>24.140165491761323</v>
      </c>
      <c r="Z72" s="2">
        <f t="shared" si="23"/>
        <v>105.07352213489524</v>
      </c>
      <c r="AA72" s="3">
        <f t="shared" si="17"/>
        <v>3.82059916312949E-3</v>
      </c>
    </row>
    <row r="73" spans="1:27" x14ac:dyDescent="0.3">
      <c r="A73" s="1">
        <v>45818</v>
      </c>
      <c r="B73" s="2">
        <v>1596</v>
      </c>
      <c r="C73" s="4">
        <f t="shared" si="12"/>
        <v>1.4686248331108086E-2</v>
      </c>
      <c r="D73" s="4">
        <f t="shared" si="18"/>
        <v>15.378337017514024</v>
      </c>
      <c r="E73" s="4"/>
      <c r="F73" s="1">
        <v>45818</v>
      </c>
      <c r="G73">
        <v>817.05</v>
      </c>
      <c r="H73">
        <f t="shared" si="13"/>
        <v>-3.6583135174684473E-3</v>
      </c>
      <c r="I73">
        <f t="shared" si="19"/>
        <v>30.179428896150032</v>
      </c>
      <c r="K73" s="1">
        <v>45820</v>
      </c>
      <c r="L73" s="2">
        <v>1687.4</v>
      </c>
      <c r="M73" s="2">
        <f t="shared" si="14"/>
        <v>-1.8928191174729791E-3</v>
      </c>
      <c r="N73" s="2">
        <f t="shared" si="20"/>
        <v>14.339059180576633</v>
      </c>
      <c r="O73" s="2"/>
      <c r="P73" s="1">
        <v>45820</v>
      </c>
      <c r="Q73" s="2">
        <v>12390</v>
      </c>
      <c r="R73">
        <f t="shared" si="15"/>
        <v>-4.979119820109219E-3</v>
      </c>
      <c r="S73">
        <f t="shared" si="21"/>
        <v>21.015944299953162</v>
      </c>
      <c r="U73" s="1">
        <v>45820</v>
      </c>
      <c r="V73" s="2">
        <v>11323</v>
      </c>
      <c r="W73">
        <f t="shared" si="16"/>
        <v>-1.229937194696441E-2</v>
      </c>
      <c r="X73">
        <f t="shared" si="22"/>
        <v>23.843256617516875</v>
      </c>
      <c r="Z73" s="2">
        <f t="shared" si="23"/>
        <v>104.75602601171072</v>
      </c>
      <c r="AA73" s="3">
        <f t="shared" si="17"/>
        <v>-3.0216568050028814E-3</v>
      </c>
    </row>
    <row r="74" spans="1:27" x14ac:dyDescent="0.3">
      <c r="A74" s="1">
        <v>45819</v>
      </c>
      <c r="B74" s="2">
        <v>1631.1</v>
      </c>
      <c r="C74" s="4">
        <f t="shared" si="12"/>
        <v>2.1992481203007463E-2</v>
      </c>
      <c r="D74" s="4">
        <f t="shared" si="18"/>
        <v>15.716544805305215</v>
      </c>
      <c r="E74" s="4"/>
      <c r="F74" s="1">
        <v>45819</v>
      </c>
      <c r="G74">
        <v>815.05</v>
      </c>
      <c r="H74">
        <f t="shared" si="13"/>
        <v>-2.4478306101217797E-3</v>
      </c>
      <c r="I74">
        <f t="shared" si="19"/>
        <v>30.105554766302042</v>
      </c>
      <c r="K74" s="1">
        <v>45821</v>
      </c>
      <c r="L74" s="2">
        <v>1687.8</v>
      </c>
      <c r="M74" s="2">
        <f t="shared" si="14"/>
        <v>2.3705108450863076E-4</v>
      </c>
      <c r="N74" s="2">
        <f t="shared" si="20"/>
        <v>14.342458270106222</v>
      </c>
      <c r="O74" s="2"/>
      <c r="P74" s="1">
        <v>45821</v>
      </c>
      <c r="Q74" s="2">
        <v>12408</v>
      </c>
      <c r="R74">
        <f t="shared" si="15"/>
        <v>1.4527845036319612E-3</v>
      </c>
      <c r="S74">
        <f t="shared" si="21"/>
        <v>21.046475938161329</v>
      </c>
      <c r="U74" s="1">
        <v>45821</v>
      </c>
      <c r="V74" s="2">
        <v>11224</v>
      </c>
      <c r="W74">
        <f t="shared" si="16"/>
        <v>-8.7432659189260794E-3</v>
      </c>
      <c r="X74">
        <f t="shared" si="22"/>
        <v>23.634788684536733</v>
      </c>
      <c r="Z74" s="2">
        <f t="shared" si="23"/>
        <v>104.84582246441154</v>
      </c>
      <c r="AA74" s="3">
        <f t="shared" si="17"/>
        <v>8.5719605944944988E-4</v>
      </c>
    </row>
    <row r="75" spans="1:27" x14ac:dyDescent="0.3">
      <c r="A75" s="1">
        <v>45820</v>
      </c>
      <c r="B75" s="2">
        <v>1608.6</v>
      </c>
      <c r="C75" s="4">
        <f t="shared" si="12"/>
        <v>-1.3794371896266325E-2</v>
      </c>
      <c r="D75" s="4">
        <f t="shared" si="18"/>
        <v>15.499744941336502</v>
      </c>
      <c r="E75" s="4"/>
      <c r="F75" s="1">
        <v>45820</v>
      </c>
      <c r="G75">
        <v>805.95</v>
      </c>
      <c r="H75">
        <f t="shared" si="13"/>
        <v>-1.1164959204956641E-2</v>
      </c>
      <c r="I75">
        <f t="shared" si="19"/>
        <v>29.769427475493693</v>
      </c>
      <c r="K75" s="1">
        <v>45824</v>
      </c>
      <c r="L75" s="2">
        <v>1685.3</v>
      </c>
      <c r="M75" s="2">
        <f t="shared" si="14"/>
        <v>-1.4812181538096931E-3</v>
      </c>
      <c r="N75" s="2">
        <f t="shared" si="20"/>
        <v>14.321213960546284</v>
      </c>
      <c r="O75" s="2"/>
      <c r="P75" s="1">
        <v>45824</v>
      </c>
      <c r="Q75" s="2">
        <v>12530</v>
      </c>
      <c r="R75">
        <f t="shared" si="15"/>
        <v>9.8323662153449384E-3</v>
      </c>
      <c r="S75">
        <f t="shared" si="21"/>
        <v>21.253412597127777</v>
      </c>
      <c r="U75" s="1">
        <v>45824</v>
      </c>
      <c r="V75" s="2">
        <v>11495</v>
      </c>
      <c r="W75">
        <f t="shared" si="16"/>
        <v>2.4144689950106914E-2</v>
      </c>
      <c r="X75">
        <f t="shared" si="22"/>
        <v>24.20544332936117</v>
      </c>
      <c r="Z75" s="2">
        <f t="shared" si="23"/>
        <v>105.04924230386543</v>
      </c>
      <c r="AA75" s="3">
        <f t="shared" si="17"/>
        <v>1.9401806831449431E-3</v>
      </c>
    </row>
    <row r="76" spans="1:27" x14ac:dyDescent="0.3">
      <c r="A76" s="1">
        <v>45821</v>
      </c>
      <c r="B76" s="2">
        <v>1602</v>
      </c>
      <c r="C76" s="4">
        <f t="shared" si="12"/>
        <v>-4.1029466616933413E-3</v>
      </c>
      <c r="D76" s="4">
        <f t="shared" si="18"/>
        <v>15.436150314572348</v>
      </c>
      <c r="E76" s="4"/>
      <c r="F76" s="1">
        <v>45821</v>
      </c>
      <c r="G76">
        <v>792.35</v>
      </c>
      <c r="H76">
        <f t="shared" si="13"/>
        <v>-1.6874495936472514E-2</v>
      </c>
      <c r="I76">
        <f t="shared" si="19"/>
        <v>29.267083392527361</v>
      </c>
      <c r="K76" s="1">
        <v>45825</v>
      </c>
      <c r="L76" s="2">
        <v>1650.2</v>
      </c>
      <c r="M76" s="2">
        <f t="shared" si="14"/>
        <v>-2.0827152435768059E-2</v>
      </c>
      <c r="N76" s="2">
        <f t="shared" si="20"/>
        <v>14.022943854324737</v>
      </c>
      <c r="O76" s="2"/>
      <c r="P76" s="1">
        <v>45825</v>
      </c>
      <c r="Q76" s="2">
        <v>12595</v>
      </c>
      <c r="R76">
        <f t="shared" si="15"/>
        <v>5.1875498802873106E-3</v>
      </c>
      <c r="S76">
        <f t="shared" si="21"/>
        <v>21.363665735101705</v>
      </c>
      <c r="U76" s="1">
        <v>45825</v>
      </c>
      <c r="V76" s="2">
        <v>11383</v>
      </c>
      <c r="W76">
        <f t="shared" si="16"/>
        <v>-9.7433666811657244E-3</v>
      </c>
      <c r="X76">
        <f t="shared" si="22"/>
        <v>23.969600819323027</v>
      </c>
      <c r="Z76" s="2">
        <f t="shared" si="23"/>
        <v>104.05944411584917</v>
      </c>
      <c r="AA76" s="3">
        <f t="shared" si="17"/>
        <v>-9.4222306254543309E-3</v>
      </c>
    </row>
    <row r="77" spans="1:27" x14ac:dyDescent="0.3">
      <c r="A77" s="1">
        <v>45824</v>
      </c>
      <c r="B77" s="2">
        <v>1623.8</v>
      </c>
      <c r="C77" s="4">
        <f t="shared" si="12"/>
        <v>1.3607990012484366E-2</v>
      </c>
      <c r="D77" s="4">
        <f t="shared" si="18"/>
        <v>15.646205293884256</v>
      </c>
      <c r="E77" s="4"/>
      <c r="F77" s="1">
        <v>45824</v>
      </c>
      <c r="G77">
        <v>792.5</v>
      </c>
      <c r="H77">
        <f t="shared" si="13"/>
        <v>1.8931027954815076E-4</v>
      </c>
      <c r="I77">
        <f t="shared" si="19"/>
        <v>29.272623952265956</v>
      </c>
      <c r="K77" s="1">
        <v>45826</v>
      </c>
      <c r="L77" s="2">
        <v>1648</v>
      </c>
      <c r="M77" s="2">
        <f t="shared" si="14"/>
        <v>-1.3331717367592083E-3</v>
      </c>
      <c r="N77" s="2">
        <f t="shared" si="20"/>
        <v>14.004248861911991</v>
      </c>
      <c r="O77" s="2"/>
      <c r="P77" s="1">
        <v>45826</v>
      </c>
      <c r="Q77" s="2">
        <v>12748</v>
      </c>
      <c r="R77">
        <f t="shared" si="15"/>
        <v>1.2147677649861056E-2</v>
      </c>
      <c r="S77">
        <f t="shared" si="21"/>
        <v>21.6231846598711</v>
      </c>
      <c r="U77" s="1">
        <v>45826</v>
      </c>
      <c r="V77" s="2">
        <v>11406</v>
      </c>
      <c r="W77">
        <f t="shared" si="16"/>
        <v>2.0205569709215495E-3</v>
      </c>
      <c r="X77">
        <f t="shared" si="22"/>
        <v>24.018032763348717</v>
      </c>
      <c r="Z77" s="2">
        <f t="shared" si="23"/>
        <v>104.56429553128201</v>
      </c>
      <c r="AA77" s="3">
        <f t="shared" si="17"/>
        <v>4.8515674835893918E-3</v>
      </c>
    </row>
    <row r="78" spans="1:27" x14ac:dyDescent="0.3">
      <c r="A78" s="1">
        <v>45825</v>
      </c>
      <c r="B78" s="2">
        <v>1639.9</v>
      </c>
      <c r="C78" s="4">
        <f t="shared" si="12"/>
        <v>9.9150141643060338E-3</v>
      </c>
      <c r="D78" s="4">
        <f t="shared" si="18"/>
        <v>15.801337640990759</v>
      </c>
      <c r="E78" s="4"/>
      <c r="F78" s="1">
        <v>45825</v>
      </c>
      <c r="G78">
        <v>792.3</v>
      </c>
      <c r="H78">
        <f t="shared" si="13"/>
        <v>-2.5236593059942646E-4</v>
      </c>
      <c r="I78">
        <f t="shared" si="19"/>
        <v>29.265236539281155</v>
      </c>
      <c r="K78" s="1">
        <v>45827</v>
      </c>
      <c r="L78" s="2">
        <v>1647.6</v>
      </c>
      <c r="M78" s="2">
        <f t="shared" si="14"/>
        <v>-2.4271844660199692E-4</v>
      </c>
      <c r="N78" s="2">
        <f t="shared" si="20"/>
        <v>14.0008497723824</v>
      </c>
      <c r="O78" s="2"/>
      <c r="P78" s="1">
        <v>45827</v>
      </c>
      <c r="Q78" s="2">
        <v>12806</v>
      </c>
      <c r="R78">
        <f t="shared" si="15"/>
        <v>4.5497332914967055E-3</v>
      </c>
      <c r="S78">
        <f t="shared" si="21"/>
        <v>21.721564382986298</v>
      </c>
      <c r="U78" s="1">
        <v>45827</v>
      </c>
      <c r="V78" s="2">
        <v>11420</v>
      </c>
      <c r="W78">
        <f t="shared" si="16"/>
        <v>1.2274241627213747E-3</v>
      </c>
      <c r="X78">
        <f t="shared" si="22"/>
        <v>24.047513077103488</v>
      </c>
      <c r="Z78" s="2">
        <f t="shared" si="23"/>
        <v>104.8365014127441</v>
      </c>
      <c r="AA78" s="3">
        <f t="shared" si="17"/>
        <v>2.6032392804735682E-3</v>
      </c>
    </row>
    <row r="79" spans="1:27" x14ac:dyDescent="0.3">
      <c r="A79" s="1">
        <v>45826</v>
      </c>
      <c r="B79" s="2">
        <v>1632.9</v>
      </c>
      <c r="C79" s="4">
        <f t="shared" si="12"/>
        <v>-4.2685529605463743E-3</v>
      </c>
      <c r="D79" s="4">
        <f t="shared" si="18"/>
        <v>15.733888794422715</v>
      </c>
      <c r="E79" s="4"/>
      <c r="F79" s="1">
        <v>45826</v>
      </c>
      <c r="G79">
        <v>791.9</v>
      </c>
      <c r="H79">
        <f t="shared" si="13"/>
        <v>-5.0485927047832547E-4</v>
      </c>
      <c r="I79">
        <f t="shared" si="19"/>
        <v>29.250461713311559</v>
      </c>
      <c r="K79" s="1">
        <v>45828</v>
      </c>
      <c r="L79" s="2">
        <v>1665.1</v>
      </c>
      <c r="M79" s="2">
        <f t="shared" si="14"/>
        <v>1.0621510075260986E-2</v>
      </c>
      <c r="N79" s="2">
        <f t="shared" si="20"/>
        <v>14.149559939301975</v>
      </c>
      <c r="O79" s="2"/>
      <c r="P79" s="1">
        <v>45828</v>
      </c>
      <c r="Q79" s="2">
        <v>12791</v>
      </c>
      <c r="R79">
        <f t="shared" si="15"/>
        <v>-1.1713259409651725E-3</v>
      </c>
      <c r="S79">
        <f t="shared" si="21"/>
        <v>21.696121351146161</v>
      </c>
      <c r="U79" s="1">
        <v>45828</v>
      </c>
      <c r="V79" s="2">
        <v>11458</v>
      </c>
      <c r="W79">
        <f t="shared" si="16"/>
        <v>3.3274956217162872E-3</v>
      </c>
      <c r="X79">
        <f t="shared" si="22"/>
        <v>24.127531071580712</v>
      </c>
      <c r="Z79" s="2">
        <f t="shared" si="23"/>
        <v>104.95756286976311</v>
      </c>
      <c r="AA79" s="3">
        <f t="shared" si="17"/>
        <v>1.1547643748848202E-3</v>
      </c>
    </row>
    <row r="80" spans="1:27" x14ac:dyDescent="0.3">
      <c r="A80" s="1">
        <v>45827</v>
      </c>
      <c r="B80" s="2">
        <v>1618.4</v>
      </c>
      <c r="C80" s="4">
        <f t="shared" si="12"/>
        <v>-8.8799069140792445E-3</v>
      </c>
      <c r="D80" s="4">
        <f t="shared" si="18"/>
        <v>15.594173326531767</v>
      </c>
      <c r="E80" s="4"/>
      <c r="F80" s="1">
        <v>45827</v>
      </c>
      <c r="G80">
        <v>785.1</v>
      </c>
      <c r="H80">
        <f t="shared" si="13"/>
        <v>-8.5869427958074947E-3</v>
      </c>
      <c r="I80">
        <f t="shared" si="19"/>
        <v>28.999289671828393</v>
      </c>
      <c r="K80" s="1">
        <v>45831</v>
      </c>
      <c r="L80" s="2">
        <v>1662.5</v>
      </c>
      <c r="M80" s="2">
        <f t="shared" si="14"/>
        <v>-1.5614677797128756E-3</v>
      </c>
      <c r="N80" s="2">
        <f t="shared" si="20"/>
        <v>14.127465857359638</v>
      </c>
      <c r="O80" s="2"/>
      <c r="P80" s="1">
        <v>45831</v>
      </c>
      <c r="Q80" s="2">
        <v>12699</v>
      </c>
      <c r="R80">
        <f t="shared" si="15"/>
        <v>-7.1925572668282388E-3</v>
      </c>
      <c r="S80">
        <f t="shared" si="21"/>
        <v>21.540070755859986</v>
      </c>
      <c r="U80" s="1">
        <v>45831</v>
      </c>
      <c r="V80" s="2">
        <v>11449</v>
      </c>
      <c r="W80">
        <f t="shared" si="16"/>
        <v>-7.8547739570605693E-4</v>
      </c>
      <c r="X80">
        <f t="shared" si="22"/>
        <v>24.108579441309793</v>
      </c>
      <c r="Z80" s="2">
        <f t="shared" si="23"/>
        <v>104.36957905288958</v>
      </c>
      <c r="AA80" s="3">
        <f t="shared" si="17"/>
        <v>-5.602110041399655E-3</v>
      </c>
    </row>
    <row r="81" spans="1:27" x14ac:dyDescent="0.3">
      <c r="A81" s="1">
        <v>45828</v>
      </c>
      <c r="B81" s="2">
        <v>1622.9</v>
      </c>
      <c r="C81" s="4">
        <f t="shared" si="12"/>
        <v>2.7805239742956004E-3</v>
      </c>
      <c r="D81" s="4">
        <f t="shared" si="18"/>
        <v>15.637533299325508</v>
      </c>
      <c r="E81" s="4"/>
      <c r="F81" s="1">
        <v>45828</v>
      </c>
      <c r="G81">
        <v>796.15</v>
      </c>
      <c r="H81">
        <f t="shared" si="13"/>
        <v>1.4074640173226282E-2</v>
      </c>
      <c r="I81">
        <f t="shared" si="19"/>
        <v>29.407444239238536</v>
      </c>
      <c r="K81" s="1">
        <v>45832</v>
      </c>
      <c r="L81" s="2">
        <v>1661.7</v>
      </c>
      <c r="M81" s="2">
        <f t="shared" si="14"/>
        <v>-4.8120300751876966E-4</v>
      </c>
      <c r="N81" s="2">
        <f t="shared" si="20"/>
        <v>14.120667678300459</v>
      </c>
      <c r="O81" s="2"/>
      <c r="P81" s="1">
        <v>45832</v>
      </c>
      <c r="Q81" s="2">
        <v>12611</v>
      </c>
      <c r="R81">
        <f t="shared" si="15"/>
        <v>-6.9296795023230176E-3</v>
      </c>
      <c r="S81">
        <f t="shared" si="21"/>
        <v>21.390804969064515</v>
      </c>
      <c r="U81" s="1">
        <v>45832</v>
      </c>
      <c r="V81" s="2">
        <v>11579</v>
      </c>
      <c r="W81">
        <f t="shared" si="16"/>
        <v>1.1354703467551752E-2</v>
      </c>
      <c r="X81">
        <f t="shared" si="22"/>
        <v>24.382325211889782</v>
      </c>
      <c r="Z81" s="2">
        <f t="shared" si="23"/>
        <v>104.93877539781879</v>
      </c>
      <c r="AA81" s="3">
        <f t="shared" si="17"/>
        <v>5.4536614030107344E-3</v>
      </c>
    </row>
    <row r="82" spans="1:27" x14ac:dyDescent="0.3">
      <c r="A82" s="1">
        <v>45831</v>
      </c>
      <c r="B82" s="2">
        <v>1584</v>
      </c>
      <c r="C82" s="4">
        <f t="shared" si="12"/>
        <v>-2.3969437426828572E-2</v>
      </c>
      <c r="D82" s="4">
        <f t="shared" si="18"/>
        <v>15.262710423397378</v>
      </c>
      <c r="E82" s="4"/>
      <c r="F82" s="1">
        <v>45831</v>
      </c>
      <c r="G82">
        <v>790.2</v>
      </c>
      <c r="H82">
        <f t="shared" si="13"/>
        <v>-7.4734660553914863E-3</v>
      </c>
      <c r="I82">
        <f t="shared" si="19"/>
        <v>29.187668702940769</v>
      </c>
      <c r="K82" s="1">
        <v>45833</v>
      </c>
      <c r="L82" s="2">
        <v>1669.6</v>
      </c>
      <c r="M82" s="2">
        <f t="shared" si="14"/>
        <v>4.754167418908265E-3</v>
      </c>
      <c r="N82" s="2">
        <f t="shared" si="20"/>
        <v>14.187799696509865</v>
      </c>
      <c r="O82" s="2"/>
      <c r="P82" s="1">
        <v>45833</v>
      </c>
      <c r="Q82" s="2">
        <v>12767</v>
      </c>
      <c r="R82">
        <f t="shared" si="15"/>
        <v>1.2370153040995957E-2</v>
      </c>
      <c r="S82">
        <f t="shared" si="21"/>
        <v>21.655412500201937</v>
      </c>
      <c r="U82" s="1">
        <v>45833</v>
      </c>
      <c r="V82" s="2">
        <v>11733</v>
      </c>
      <c r="W82">
        <f t="shared" si="16"/>
        <v>1.3299939545729337E-2</v>
      </c>
      <c r="X82">
        <f t="shared" si="22"/>
        <v>24.706608663192231</v>
      </c>
      <c r="Z82" s="2">
        <f t="shared" si="23"/>
        <v>105.00019998624218</v>
      </c>
      <c r="AA82" s="3">
        <f t="shared" si="17"/>
        <v>5.8533738544719327E-4</v>
      </c>
    </row>
    <row r="83" spans="1:27" x14ac:dyDescent="0.3">
      <c r="A83" s="1">
        <v>45832</v>
      </c>
      <c r="B83" s="2">
        <v>1581.6</v>
      </c>
      <c r="C83" s="4">
        <f t="shared" si="12"/>
        <v>-1.5151515151515726E-3</v>
      </c>
      <c r="D83" s="4">
        <f t="shared" si="18"/>
        <v>15.239585104574047</v>
      </c>
      <c r="E83" s="4"/>
      <c r="F83" s="1">
        <v>45831</v>
      </c>
      <c r="G83">
        <v>790.2</v>
      </c>
      <c r="H83">
        <f t="shared" si="13"/>
        <v>0</v>
      </c>
      <c r="I83">
        <f t="shared" si="19"/>
        <v>29.187668702940769</v>
      </c>
      <c r="K83" s="1">
        <v>45834</v>
      </c>
      <c r="L83" s="2">
        <v>1669.8</v>
      </c>
      <c r="M83" s="2">
        <f t="shared" si="14"/>
        <v>1.1978917105896352E-4</v>
      </c>
      <c r="N83" s="2">
        <f t="shared" si="20"/>
        <v>14.18949924127466</v>
      </c>
      <c r="O83" s="2"/>
      <c r="P83" s="1">
        <v>45834</v>
      </c>
      <c r="Q83" s="2">
        <v>12715</v>
      </c>
      <c r="R83">
        <f t="shared" si="15"/>
        <v>-4.0730007049424293E-3</v>
      </c>
      <c r="S83">
        <f t="shared" si="21"/>
        <v>21.567209989822796</v>
      </c>
      <c r="U83" s="1">
        <v>45834</v>
      </c>
      <c r="V83" s="2">
        <v>11951</v>
      </c>
      <c r="W83">
        <f t="shared" si="16"/>
        <v>1.8580073297536862E-2</v>
      </c>
      <c r="X83">
        <f t="shared" si="22"/>
        <v>25.165659263087903</v>
      </c>
      <c r="Z83" s="2">
        <f t="shared" si="23"/>
        <v>105.34962230170018</v>
      </c>
      <c r="AA83" s="3">
        <f t="shared" si="17"/>
        <v>3.327825237511739E-3</v>
      </c>
    </row>
    <row r="84" spans="1:27" x14ac:dyDescent="0.3">
      <c r="A84" s="1">
        <v>45833</v>
      </c>
      <c r="B84" s="2">
        <v>1614.9</v>
      </c>
      <c r="C84" s="4">
        <f t="shared" si="12"/>
        <v>2.1054628224582816E-2</v>
      </c>
      <c r="D84" s="4">
        <f t="shared" si="18"/>
        <v>15.560448903247746</v>
      </c>
      <c r="E84" s="4"/>
      <c r="F84" s="1">
        <v>45832</v>
      </c>
      <c r="G84">
        <v>795.4</v>
      </c>
      <c r="H84">
        <f t="shared" si="13"/>
        <v>6.5806125031636692E-3</v>
      </c>
      <c r="I84">
        <f t="shared" si="19"/>
        <v>29.379741440545544</v>
      </c>
      <c r="K84" s="1">
        <v>45835</v>
      </c>
      <c r="L84" s="2">
        <v>1687.6</v>
      </c>
      <c r="M84" s="2">
        <f t="shared" si="14"/>
        <v>1.0659959276560041E-2</v>
      </c>
      <c r="N84" s="2">
        <f t="shared" si="20"/>
        <v>14.340758725341427</v>
      </c>
      <c r="O84" s="2"/>
      <c r="P84" s="1">
        <v>45835</v>
      </c>
      <c r="Q84" s="2">
        <v>12642</v>
      </c>
      <c r="R84">
        <f t="shared" si="15"/>
        <v>-5.7412504915454188E-3</v>
      </c>
      <c r="S84">
        <f t="shared" si="21"/>
        <v>21.443387234867462</v>
      </c>
      <c r="U84" s="1">
        <v>45835</v>
      </c>
      <c r="V84" s="2">
        <v>12213</v>
      </c>
      <c r="W84">
        <f t="shared" si="16"/>
        <v>2.1922851644213873E-2</v>
      </c>
      <c r="X84">
        <f t="shared" si="22"/>
        <v>25.717362277641413</v>
      </c>
      <c r="Z84" s="2">
        <f t="shared" si="23"/>
        <v>106.44169858164359</v>
      </c>
      <c r="AA84" s="3">
        <f t="shared" si="17"/>
        <v>1.0366209731781817E-2</v>
      </c>
    </row>
    <row r="85" spans="1:27" x14ac:dyDescent="0.3">
      <c r="A85" s="1">
        <v>45834</v>
      </c>
      <c r="B85" s="2">
        <v>1616</v>
      </c>
      <c r="C85" s="4">
        <f t="shared" si="12"/>
        <v>6.8115672797071586E-4</v>
      </c>
      <c r="D85" s="4">
        <f t="shared" si="18"/>
        <v>15.571048007708438</v>
      </c>
      <c r="E85" s="4"/>
      <c r="F85" s="1">
        <v>45833</v>
      </c>
      <c r="G85">
        <v>800.05</v>
      </c>
      <c r="H85">
        <f t="shared" si="13"/>
        <v>5.8461151621825216E-3</v>
      </c>
      <c r="I85">
        <f t="shared" si="19"/>
        <v>29.551498792442118</v>
      </c>
      <c r="K85" s="1">
        <v>45838</v>
      </c>
      <c r="L85" s="2">
        <v>1675.7</v>
      </c>
      <c r="M85" s="2">
        <f t="shared" si="14"/>
        <v>-7.0514339890968619E-3</v>
      </c>
      <c r="N85" s="2">
        <f t="shared" si="20"/>
        <v>14.239635811836116</v>
      </c>
      <c r="O85" s="2"/>
      <c r="P85" s="1">
        <v>45838</v>
      </c>
      <c r="Q85" s="2">
        <v>12400</v>
      </c>
      <c r="R85">
        <f t="shared" si="15"/>
        <v>-1.9142540737225124E-2</v>
      </c>
      <c r="S85">
        <f t="shared" si="21"/>
        <v>21.032906321179919</v>
      </c>
      <c r="U85" s="1">
        <v>45838</v>
      </c>
      <c r="V85" s="2">
        <v>12093</v>
      </c>
      <c r="W85">
        <f t="shared" si="16"/>
        <v>-9.825595676737903E-3</v>
      </c>
      <c r="X85">
        <f t="shared" si="22"/>
        <v>25.464673874029117</v>
      </c>
      <c r="Z85" s="2">
        <f t="shared" si="23"/>
        <v>105.85976280719571</v>
      </c>
      <c r="AA85" s="3">
        <f t="shared" si="17"/>
        <v>-5.4671785794692118E-3</v>
      </c>
    </row>
    <row r="86" spans="1:27" x14ac:dyDescent="0.3">
      <c r="A86" s="1">
        <v>45835</v>
      </c>
      <c r="B86" s="2">
        <v>1608</v>
      </c>
      <c r="C86" s="4">
        <f t="shared" si="12"/>
        <v>-4.9504950495049506E-3</v>
      </c>
      <c r="D86" s="4">
        <f t="shared" si="18"/>
        <v>15.493963611630672</v>
      </c>
      <c r="E86" s="4"/>
      <c r="F86" s="1">
        <v>45834</v>
      </c>
      <c r="G86">
        <v>797.05</v>
      </c>
      <c r="H86">
        <f t="shared" si="13"/>
        <v>-3.7497656396475224E-3</v>
      </c>
      <c r="I86">
        <f t="shared" si="19"/>
        <v>29.440687597670131</v>
      </c>
      <c r="K86" s="1">
        <v>45839</v>
      </c>
      <c r="L86" s="2">
        <v>1667.2</v>
      </c>
      <c r="M86" s="2">
        <f t="shared" si="14"/>
        <v>-5.072507011994987E-3</v>
      </c>
      <c r="N86" s="2">
        <f t="shared" si="20"/>
        <v>14.167405159332322</v>
      </c>
      <c r="O86" s="2"/>
      <c r="P86" s="1">
        <v>45839</v>
      </c>
      <c r="Q86" s="2">
        <v>12442</v>
      </c>
      <c r="R86">
        <f t="shared" si="15"/>
        <v>3.3870967741935483E-3</v>
      </c>
      <c r="S86">
        <f t="shared" si="21"/>
        <v>21.104146810332303</v>
      </c>
      <c r="U86" s="1">
        <v>45839</v>
      </c>
      <c r="V86" s="2">
        <v>12210</v>
      </c>
      <c r="W86">
        <f t="shared" si="16"/>
        <v>9.6750186058050108E-3</v>
      </c>
      <c r="X86">
        <f t="shared" si="22"/>
        <v>25.711045067551105</v>
      </c>
      <c r="Z86" s="2">
        <f t="shared" si="23"/>
        <v>105.91724824651655</v>
      </c>
      <c r="AA86" s="3">
        <f t="shared" si="17"/>
        <v>5.4303389499876786E-4</v>
      </c>
    </row>
    <row r="87" spans="1:27" x14ac:dyDescent="0.3">
      <c r="A87" s="1">
        <v>45838</v>
      </c>
      <c r="B87" s="2">
        <v>1601.8</v>
      </c>
      <c r="C87" s="4">
        <f t="shared" si="12"/>
        <v>-3.8557213930348541E-3</v>
      </c>
      <c r="D87" s="4">
        <f t="shared" si="18"/>
        <v>15.434223204670404</v>
      </c>
      <c r="E87" s="4"/>
      <c r="F87" s="1">
        <v>45835</v>
      </c>
      <c r="G87">
        <v>805.4</v>
      </c>
      <c r="H87">
        <f t="shared" si="13"/>
        <v>1.0476130732074554E-2</v>
      </c>
      <c r="I87">
        <f t="shared" si="19"/>
        <v>29.749112089785491</v>
      </c>
      <c r="K87" s="1">
        <v>45840</v>
      </c>
      <c r="L87" s="2">
        <v>1677.5</v>
      </c>
      <c r="M87" s="2">
        <f t="shared" si="14"/>
        <v>6.1780230326295314E-3</v>
      </c>
      <c r="N87" s="2">
        <f t="shared" si="20"/>
        <v>14.254931714719273</v>
      </c>
      <c r="O87" s="2"/>
      <c r="P87" s="1">
        <v>45840</v>
      </c>
      <c r="Q87" s="2">
        <v>12622</v>
      </c>
      <c r="R87">
        <f t="shared" si="15"/>
        <v>1.446712747146761E-2</v>
      </c>
      <c r="S87">
        <f t="shared" si="21"/>
        <v>21.409463192413945</v>
      </c>
      <c r="U87" s="1">
        <v>45840</v>
      </c>
      <c r="V87" s="2">
        <v>12436</v>
      </c>
      <c r="W87">
        <f t="shared" si="16"/>
        <v>1.8509418509418511E-2</v>
      </c>
      <c r="X87">
        <f t="shared" si="22"/>
        <v>26.18694156102093</v>
      </c>
      <c r="Z87" s="2">
        <f t="shared" si="23"/>
        <v>107.03467176261005</v>
      </c>
      <c r="AA87" s="3">
        <f t="shared" si="17"/>
        <v>1.0549967399953175E-2</v>
      </c>
    </row>
    <row r="88" spans="1:27" x14ac:dyDescent="0.3">
      <c r="A88" s="1">
        <v>45839</v>
      </c>
      <c r="B88" s="2">
        <v>1606.8</v>
      </c>
      <c r="C88" s="4">
        <f t="shared" si="12"/>
        <v>3.1214883256336623E-3</v>
      </c>
      <c r="D88" s="4">
        <f t="shared" si="18"/>
        <v>15.482400952219006</v>
      </c>
      <c r="E88" s="4"/>
      <c r="F88" s="1">
        <v>45838</v>
      </c>
      <c r="G88">
        <v>820.35</v>
      </c>
      <c r="H88">
        <f t="shared" si="13"/>
        <v>1.8562205115470631E-2</v>
      </c>
      <c r="I88">
        <f t="shared" si="19"/>
        <v>30.301321210399216</v>
      </c>
      <c r="K88" s="1">
        <v>45841</v>
      </c>
      <c r="L88" s="2">
        <v>1679.7</v>
      </c>
      <c r="M88" s="2">
        <f t="shared" si="14"/>
        <v>1.3114754098360927E-3</v>
      </c>
      <c r="N88" s="2">
        <f t="shared" si="20"/>
        <v>14.273626707132019</v>
      </c>
      <c r="O88" s="2"/>
      <c r="P88" s="1">
        <v>45841</v>
      </c>
      <c r="Q88" s="2">
        <v>12752</v>
      </c>
      <c r="R88">
        <f t="shared" si="15"/>
        <v>1.0299477103470131E-2</v>
      </c>
      <c r="S88">
        <f t="shared" si="21"/>
        <v>21.6299694683618</v>
      </c>
      <c r="U88" s="1">
        <v>45841</v>
      </c>
      <c r="V88" s="2">
        <v>12398</v>
      </c>
      <c r="W88">
        <f t="shared" si="16"/>
        <v>-3.0556449018977164E-3</v>
      </c>
      <c r="X88">
        <f t="shared" si="22"/>
        <v>26.106923566543703</v>
      </c>
      <c r="Z88" s="2">
        <f t="shared" si="23"/>
        <v>107.79424190465573</v>
      </c>
      <c r="AA88" s="3">
        <f t="shared" si="17"/>
        <v>7.0964868629701527E-3</v>
      </c>
    </row>
    <row r="89" spans="1:27" x14ac:dyDescent="0.3">
      <c r="A89" s="1">
        <v>45840</v>
      </c>
      <c r="B89" s="2">
        <v>1610.5</v>
      </c>
      <c r="C89" s="4">
        <f t="shared" si="12"/>
        <v>2.3027134677620397E-3</v>
      </c>
      <c r="D89" s="4">
        <f t="shared" si="18"/>
        <v>15.518052485404972</v>
      </c>
      <c r="E89" s="4"/>
      <c r="F89" s="1">
        <v>45839</v>
      </c>
      <c r="G89">
        <v>820.3</v>
      </c>
      <c r="H89">
        <f t="shared" si="13"/>
        <v>-6.0949594685278494E-5</v>
      </c>
      <c r="I89">
        <f t="shared" si="19"/>
        <v>30.299474357153013</v>
      </c>
      <c r="K89" s="1">
        <v>45842</v>
      </c>
      <c r="L89" s="2">
        <v>1676.3</v>
      </c>
      <c r="M89" s="2">
        <f t="shared" si="14"/>
        <v>-2.0241709829136698E-3</v>
      </c>
      <c r="N89" s="2">
        <f t="shared" si="20"/>
        <v>14.244734446130501</v>
      </c>
      <c r="O89" s="2"/>
      <c r="P89" s="1">
        <v>45842</v>
      </c>
      <c r="Q89" s="2">
        <v>12646</v>
      </c>
      <c r="R89">
        <f t="shared" si="15"/>
        <v>-8.3124215809284811E-3</v>
      </c>
      <c r="S89">
        <f t="shared" si="21"/>
        <v>21.450172043358165</v>
      </c>
      <c r="U89" s="1">
        <v>45842</v>
      </c>
      <c r="V89" s="2">
        <v>12506</v>
      </c>
      <c r="W89">
        <f t="shared" si="16"/>
        <v>8.7110824326504278E-3</v>
      </c>
      <c r="X89">
        <f t="shared" si="22"/>
        <v>26.334343129794767</v>
      </c>
      <c r="Z89" s="2">
        <f t="shared" si="23"/>
        <v>107.84677646184142</v>
      </c>
      <c r="AA89" s="3">
        <f t="shared" si="17"/>
        <v>4.8735958672208035E-4</v>
      </c>
    </row>
    <row r="90" spans="1:27" x14ac:dyDescent="0.3">
      <c r="A90" s="1">
        <v>45841</v>
      </c>
      <c r="B90" s="2">
        <v>1618.7</v>
      </c>
      <c r="C90" s="4">
        <f t="shared" si="12"/>
        <v>5.0915864638311362E-3</v>
      </c>
      <c r="D90" s="4">
        <f t="shared" si="18"/>
        <v>15.597063991384683</v>
      </c>
      <c r="E90" s="4"/>
      <c r="F90" s="1">
        <v>45840</v>
      </c>
      <c r="G90">
        <v>812.9</v>
      </c>
      <c r="H90">
        <f t="shared" si="13"/>
        <v>-9.0210898451785655E-3</v>
      </c>
      <c r="I90">
        <f t="shared" si="19"/>
        <v>30.02614007671545</v>
      </c>
      <c r="K90" s="1">
        <v>45845</v>
      </c>
      <c r="L90" s="2">
        <v>1679.9</v>
      </c>
      <c r="M90" s="2">
        <f t="shared" si="14"/>
        <v>2.1475869474438564E-3</v>
      </c>
      <c r="N90" s="2">
        <f t="shared" si="20"/>
        <v>14.275326251896814</v>
      </c>
      <c r="O90" s="2"/>
      <c r="P90" s="1">
        <v>45845</v>
      </c>
      <c r="Q90" s="2">
        <v>12520</v>
      </c>
      <c r="R90">
        <f t="shared" si="15"/>
        <v>-9.9636248616163207E-3</v>
      </c>
      <c r="S90">
        <f t="shared" si="21"/>
        <v>21.236450575901014</v>
      </c>
      <c r="U90" s="1">
        <v>45845</v>
      </c>
      <c r="V90" s="2">
        <v>12345</v>
      </c>
      <c r="W90">
        <f t="shared" si="16"/>
        <v>-1.2873820566128258E-2</v>
      </c>
      <c r="X90">
        <f t="shared" si="22"/>
        <v>25.995319521614935</v>
      </c>
      <c r="Z90" s="2">
        <f t="shared" si="23"/>
        <v>107.1303004175129</v>
      </c>
      <c r="AA90" s="3">
        <f t="shared" si="17"/>
        <v>-6.6434627703686466E-3</v>
      </c>
    </row>
    <row r="91" spans="1:27" x14ac:dyDescent="0.3">
      <c r="A91" s="1">
        <v>45842</v>
      </c>
      <c r="B91" s="2">
        <v>1640.7</v>
      </c>
      <c r="C91" s="4">
        <f t="shared" si="12"/>
        <v>1.359115339469945E-2</v>
      </c>
      <c r="D91" s="4">
        <f t="shared" si="18"/>
        <v>15.809046080598536</v>
      </c>
      <c r="E91" s="4"/>
      <c r="F91" s="1">
        <v>45841</v>
      </c>
      <c r="G91">
        <v>807.1</v>
      </c>
      <c r="H91">
        <f t="shared" si="13"/>
        <v>-7.1349489482100559E-3</v>
      </c>
      <c r="I91">
        <f t="shared" si="19"/>
        <v>29.811905100156281</v>
      </c>
      <c r="K91" s="1">
        <v>45846</v>
      </c>
      <c r="L91" s="2">
        <v>1672.5</v>
      </c>
      <c r="M91" s="2">
        <f t="shared" si="14"/>
        <v>-4.4050241085779457E-3</v>
      </c>
      <c r="N91" s="2">
        <f t="shared" si="20"/>
        <v>14.212443095599394</v>
      </c>
      <c r="O91" s="2"/>
      <c r="P91" s="1">
        <v>45846</v>
      </c>
      <c r="Q91" s="2">
        <v>12414</v>
      </c>
      <c r="R91">
        <f t="shared" si="15"/>
        <v>-8.4664536741214051E-3</v>
      </c>
      <c r="S91">
        <f t="shared" si="21"/>
        <v>21.056653150897379</v>
      </c>
      <c r="U91" s="1">
        <v>45846</v>
      </c>
      <c r="V91" s="2">
        <v>12445</v>
      </c>
      <c r="W91">
        <f t="shared" si="16"/>
        <v>8.1004455245038479E-3</v>
      </c>
      <c r="X91">
        <f t="shared" si="22"/>
        <v>26.20589319129185</v>
      </c>
      <c r="Z91" s="2">
        <f t="shared" si="23"/>
        <v>107.09594061854344</v>
      </c>
      <c r="AA91" s="3">
        <f t="shared" si="17"/>
        <v>-3.2072904524260704E-4</v>
      </c>
    </row>
    <row r="92" spans="1:27" x14ac:dyDescent="0.3">
      <c r="A92" s="1">
        <v>45845</v>
      </c>
      <c r="B92" s="2">
        <v>1627</v>
      </c>
      <c r="C92" s="4">
        <f t="shared" si="12"/>
        <v>-8.3500944718717888E-3</v>
      </c>
      <c r="D92" s="4">
        <f t="shared" si="18"/>
        <v>15.677039052315365</v>
      </c>
      <c r="E92" s="4"/>
      <c r="F92" s="1">
        <v>45842</v>
      </c>
      <c r="G92">
        <v>811.85</v>
      </c>
      <c r="H92">
        <f t="shared" si="13"/>
        <v>5.8852682443315575E-3</v>
      </c>
      <c r="I92">
        <f t="shared" si="19"/>
        <v>29.987356158545257</v>
      </c>
      <c r="K92" s="1">
        <v>45847</v>
      </c>
      <c r="L92" s="2">
        <v>1669.4</v>
      </c>
      <c r="M92" s="2">
        <f t="shared" si="14"/>
        <v>-1.8535127055305885E-3</v>
      </c>
      <c r="N92" s="2">
        <f t="shared" si="20"/>
        <v>14.18610015174507</v>
      </c>
      <c r="O92" s="2"/>
      <c r="P92" s="1">
        <v>45847</v>
      </c>
      <c r="Q92" s="2">
        <v>12470</v>
      </c>
      <c r="R92">
        <f t="shared" si="15"/>
        <v>4.5110359271789916E-3</v>
      </c>
      <c r="S92">
        <f t="shared" si="21"/>
        <v>21.151640469767223</v>
      </c>
      <c r="U92" s="1">
        <v>45847</v>
      </c>
      <c r="V92" s="2">
        <v>12562</v>
      </c>
      <c r="W92">
        <f t="shared" si="16"/>
        <v>9.4013660104459631E-3</v>
      </c>
      <c r="X92">
        <f t="shared" si="22"/>
        <v>26.452264384813837</v>
      </c>
      <c r="Z92" s="2">
        <f t="shared" si="23"/>
        <v>107.45440021718676</v>
      </c>
      <c r="AA92" s="3">
        <f t="shared" si="17"/>
        <v>3.3470885691184726E-3</v>
      </c>
    </row>
    <row r="93" spans="1:27" x14ac:dyDescent="0.3">
      <c r="A93" s="1">
        <v>45846</v>
      </c>
      <c r="B93" s="2">
        <v>1638.7</v>
      </c>
      <c r="C93" s="4">
        <f t="shared" si="12"/>
        <v>7.1911493546404706E-3</v>
      </c>
      <c r="D93" s="4">
        <f t="shared" si="18"/>
        <v>15.789774981579095</v>
      </c>
      <c r="E93" s="4"/>
      <c r="F93" s="1">
        <v>45845</v>
      </c>
      <c r="G93">
        <v>806.85</v>
      </c>
      <c r="H93">
        <f t="shared" si="13"/>
        <v>-6.1587731723840612E-3</v>
      </c>
      <c r="I93">
        <f t="shared" si="19"/>
        <v>29.80267083392528</v>
      </c>
      <c r="K93" s="1">
        <v>45848</v>
      </c>
      <c r="L93" s="2">
        <v>1662.5</v>
      </c>
      <c r="M93" s="2">
        <f t="shared" si="14"/>
        <v>-4.1332215167126452E-3</v>
      </c>
      <c r="N93" s="2">
        <f t="shared" si="20"/>
        <v>14.127465857359635</v>
      </c>
      <c r="O93" s="2"/>
      <c r="P93" s="1">
        <v>45848</v>
      </c>
      <c r="Q93" s="2">
        <v>12650</v>
      </c>
      <c r="R93">
        <f t="shared" si="15"/>
        <v>1.4434643143544507E-2</v>
      </c>
      <c r="S93">
        <f t="shared" si="21"/>
        <v>21.456956851848865</v>
      </c>
      <c r="U93" s="1">
        <v>45848</v>
      </c>
      <c r="V93" s="2">
        <v>12516</v>
      </c>
      <c r="W93">
        <f t="shared" si="16"/>
        <v>-3.6618372870562011E-3</v>
      </c>
      <c r="X93">
        <f t="shared" si="22"/>
        <v>26.35540049676246</v>
      </c>
      <c r="Z93" s="2">
        <f t="shared" si="23"/>
        <v>107.53226902147534</v>
      </c>
      <c r="AA93" s="3">
        <f t="shared" si="17"/>
        <v>7.2466836287010672E-4</v>
      </c>
    </row>
    <row r="94" spans="1:27" x14ac:dyDescent="0.3">
      <c r="A94" s="1">
        <v>45847</v>
      </c>
      <c r="B94" s="2">
        <v>1633.7</v>
      </c>
      <c r="C94" s="4">
        <f t="shared" si="12"/>
        <v>-3.0511991212546531E-3</v>
      </c>
      <c r="D94" s="4">
        <f t="shared" si="18"/>
        <v>15.741597234030493</v>
      </c>
      <c r="E94" s="4"/>
      <c r="F94" s="1">
        <v>45845</v>
      </c>
      <c r="G94">
        <v>806.85</v>
      </c>
      <c r="H94">
        <f t="shared" si="13"/>
        <v>0</v>
      </c>
      <c r="I94">
        <f t="shared" si="19"/>
        <v>29.80267083392528</v>
      </c>
      <c r="K94" s="1">
        <v>45849</v>
      </c>
      <c r="L94" s="2">
        <v>1672</v>
      </c>
      <c r="M94" s="2">
        <f t="shared" si="14"/>
        <v>5.7142857142857143E-3</v>
      </c>
      <c r="N94" s="2">
        <f t="shared" si="20"/>
        <v>14.208194233687404</v>
      </c>
      <c r="O94" s="2"/>
      <c r="P94" s="1">
        <v>45849</v>
      </c>
      <c r="Q94" s="2">
        <v>12574</v>
      </c>
      <c r="R94">
        <f t="shared" si="15"/>
        <v>-6.0079051383399211E-3</v>
      </c>
      <c r="S94">
        <f t="shared" si="21"/>
        <v>21.328045490525504</v>
      </c>
      <c r="U94" s="1">
        <v>45849</v>
      </c>
      <c r="V94" s="2">
        <v>12495</v>
      </c>
      <c r="W94">
        <f t="shared" si="16"/>
        <v>-1.6778523489932886E-3</v>
      </c>
      <c r="X94">
        <f t="shared" si="22"/>
        <v>26.311180026130309</v>
      </c>
      <c r="Z94" s="2">
        <f t="shared" si="23"/>
        <v>107.39168781829898</v>
      </c>
      <c r="AA94" s="3">
        <f t="shared" si="17"/>
        <v>-1.3073396893381606E-3</v>
      </c>
    </row>
    <row r="95" spans="1:27" x14ac:dyDescent="0.3">
      <c r="A95" s="1">
        <v>45848</v>
      </c>
      <c r="B95" s="2">
        <v>1615.8</v>
      </c>
      <c r="C95" s="4">
        <f t="shared" si="12"/>
        <v>-1.0956724000734584E-2</v>
      </c>
      <c r="D95" s="4">
        <f t="shared" si="18"/>
        <v>15.569120897806494</v>
      </c>
      <c r="E95" s="4"/>
      <c r="F95" s="1">
        <v>45846</v>
      </c>
      <c r="G95">
        <v>812.65</v>
      </c>
      <c r="H95">
        <f t="shared" si="13"/>
        <v>7.1884489062402608E-3</v>
      </c>
      <c r="I95">
        <f t="shared" si="19"/>
        <v>30.016905810484445</v>
      </c>
      <c r="K95" s="1">
        <v>45852</v>
      </c>
      <c r="L95" s="2">
        <v>1672</v>
      </c>
      <c r="M95" s="2">
        <f t="shared" si="14"/>
        <v>0</v>
      </c>
      <c r="N95" s="2">
        <f t="shared" si="20"/>
        <v>14.208194233687404</v>
      </c>
      <c r="O95" s="2"/>
      <c r="P95" s="1">
        <v>45852</v>
      </c>
      <c r="Q95" s="2">
        <v>12574</v>
      </c>
      <c r="R95">
        <f t="shared" si="15"/>
        <v>0</v>
      </c>
      <c r="S95">
        <f t="shared" si="21"/>
        <v>21.328045490525504</v>
      </c>
      <c r="U95" s="1">
        <v>45852</v>
      </c>
      <c r="V95" s="2">
        <v>12516</v>
      </c>
      <c r="W95">
        <f t="shared" si="16"/>
        <v>1.6806722689075631E-3</v>
      </c>
      <c r="X95">
        <f t="shared" si="22"/>
        <v>26.35540049676246</v>
      </c>
      <c r="Z95" s="2">
        <f t="shared" si="23"/>
        <v>107.47766692926629</v>
      </c>
      <c r="AA95" s="3">
        <f t="shared" si="17"/>
        <v>8.0061234453077113E-4</v>
      </c>
    </row>
    <row r="96" spans="1:27" x14ac:dyDescent="0.3">
      <c r="A96" s="1">
        <v>45849</v>
      </c>
      <c r="B96" s="2">
        <v>1594.9</v>
      </c>
      <c r="C96" s="4">
        <f t="shared" si="12"/>
        <v>-1.2934769154598257E-2</v>
      </c>
      <c r="D96" s="4">
        <f t="shared" si="18"/>
        <v>15.367737913053336</v>
      </c>
      <c r="E96" s="4"/>
      <c r="F96" s="1">
        <v>45847</v>
      </c>
      <c r="G96">
        <v>810.95</v>
      </c>
      <c r="H96">
        <f t="shared" si="13"/>
        <v>-2.0919214914168851E-3</v>
      </c>
      <c r="I96">
        <f t="shared" si="19"/>
        <v>29.954112800113656</v>
      </c>
      <c r="K96" s="1">
        <v>45852</v>
      </c>
      <c r="L96" s="2">
        <v>1682.6</v>
      </c>
      <c r="M96" s="2">
        <f t="shared" si="14"/>
        <v>6.3397129186602329E-3</v>
      </c>
      <c r="N96" s="2">
        <f t="shared" si="20"/>
        <v>14.298270106221546</v>
      </c>
      <c r="O96" s="2"/>
      <c r="P96" s="1">
        <v>45852</v>
      </c>
      <c r="Q96" s="2">
        <v>12514</v>
      </c>
      <c r="R96">
        <f t="shared" si="15"/>
        <v>-4.7717512327024019E-3</v>
      </c>
      <c r="S96">
        <f t="shared" si="21"/>
        <v>21.226273363164957</v>
      </c>
      <c r="U96" s="1">
        <v>45853</v>
      </c>
      <c r="V96" s="2">
        <v>12502</v>
      </c>
      <c r="W96">
        <f t="shared" si="16"/>
        <v>-1.1185682326621924E-3</v>
      </c>
      <c r="X96">
        <f t="shared" si="22"/>
        <v>26.325920183007693</v>
      </c>
      <c r="Z96" s="2">
        <f t="shared" si="23"/>
        <v>107.17231436556119</v>
      </c>
      <c r="AA96" s="3">
        <f t="shared" si="17"/>
        <v>-2.8410791974676775E-3</v>
      </c>
    </row>
    <row r="97" spans="1:27" x14ac:dyDescent="0.3">
      <c r="A97" s="1">
        <v>45852</v>
      </c>
      <c r="B97" s="2">
        <v>1570.3</v>
      </c>
      <c r="C97" s="4">
        <f t="shared" si="12"/>
        <v>-1.5424164524421679E-2</v>
      </c>
      <c r="D97" s="4">
        <f t="shared" si="18"/>
        <v>15.13070339511421</v>
      </c>
      <c r="E97" s="4"/>
      <c r="F97" s="1">
        <v>45848</v>
      </c>
      <c r="G97">
        <v>808</v>
      </c>
      <c r="H97">
        <f t="shared" si="13"/>
        <v>-3.6377088599790926E-3</v>
      </c>
      <c r="I97">
        <f t="shared" si="19"/>
        <v>29.845148458587872</v>
      </c>
      <c r="K97" s="1">
        <v>45853</v>
      </c>
      <c r="L97" s="2">
        <v>1727.5</v>
      </c>
      <c r="M97" s="2">
        <f t="shared" si="14"/>
        <v>2.6684892428384697E-2</v>
      </c>
      <c r="N97" s="2">
        <f t="shared" si="20"/>
        <v>14.679817905918057</v>
      </c>
      <c r="O97" s="2"/>
      <c r="P97" s="1">
        <v>45853</v>
      </c>
      <c r="Q97" s="2">
        <v>12536</v>
      </c>
      <c r="R97">
        <f t="shared" si="15"/>
        <v>1.758031005274093E-3</v>
      </c>
      <c r="S97">
        <f t="shared" si="21"/>
        <v>21.263589809863824</v>
      </c>
      <c r="U97" s="1">
        <v>45854</v>
      </c>
      <c r="V97" s="2">
        <v>12453</v>
      </c>
      <c r="W97">
        <f t="shared" si="16"/>
        <v>-3.9193729003359464E-3</v>
      </c>
      <c r="X97">
        <f t="shared" si="22"/>
        <v>26.222739084866006</v>
      </c>
      <c r="Z97" s="2">
        <f t="shared" si="23"/>
        <v>107.14199865434996</v>
      </c>
      <c r="AA97" s="3">
        <f t="shared" si="17"/>
        <v>-2.8286886768003061E-4</v>
      </c>
    </row>
    <row r="98" spans="1:27" x14ac:dyDescent="0.3">
      <c r="A98" s="1">
        <v>45853</v>
      </c>
      <c r="B98" s="2">
        <v>1585.6</v>
      </c>
      <c r="C98" s="4">
        <f t="shared" si="12"/>
        <v>9.7433611411831839E-3</v>
      </c>
      <c r="D98" s="4">
        <f t="shared" si="18"/>
        <v>15.278127302612935</v>
      </c>
      <c r="E98" s="4"/>
      <c r="F98" s="1">
        <v>45849</v>
      </c>
      <c r="G98">
        <v>808.65</v>
      </c>
      <c r="H98">
        <f t="shared" si="13"/>
        <v>8.0445544554452633E-4</v>
      </c>
      <c r="I98">
        <f t="shared" si="19"/>
        <v>29.869157550788465</v>
      </c>
      <c r="K98" s="1">
        <v>45854</v>
      </c>
      <c r="L98" s="2">
        <v>1701</v>
      </c>
      <c r="M98" s="2">
        <f t="shared" si="14"/>
        <v>-1.5340086830680173E-2</v>
      </c>
      <c r="N98" s="2">
        <f t="shared" si="20"/>
        <v>14.4546282245827</v>
      </c>
      <c r="O98" s="2"/>
      <c r="P98" s="1">
        <v>45854</v>
      </c>
      <c r="Q98" s="2">
        <v>12564</v>
      </c>
      <c r="R98">
        <f t="shared" si="15"/>
        <v>2.2335673261008296E-3</v>
      </c>
      <c r="S98">
        <f t="shared" si="21"/>
        <v>21.311083469298747</v>
      </c>
      <c r="U98" s="1">
        <v>45855</v>
      </c>
      <c r="V98" s="2">
        <v>12495</v>
      </c>
      <c r="W98">
        <f t="shared" si="16"/>
        <v>3.3726812816188868E-3</v>
      </c>
      <c r="X98">
        <f t="shared" si="22"/>
        <v>26.311180026130309</v>
      </c>
      <c r="Z98" s="2">
        <f t="shared" si="23"/>
        <v>107.22417657341316</v>
      </c>
      <c r="AA98" s="3">
        <f t="shared" si="17"/>
        <v>7.6700005689001038E-4</v>
      </c>
    </row>
    <row r="99" spans="1:27" x14ac:dyDescent="0.3">
      <c r="A99" s="1">
        <v>45854</v>
      </c>
      <c r="B99" s="2">
        <v>1607.9</v>
      </c>
      <c r="C99" s="4">
        <f t="shared" si="12"/>
        <v>1.4064076690212023E-2</v>
      </c>
      <c r="D99" s="4">
        <f t="shared" si="18"/>
        <v>15.493000056679707</v>
      </c>
      <c r="E99" s="4"/>
      <c r="F99" s="1">
        <v>45849</v>
      </c>
      <c r="G99">
        <v>808.65</v>
      </c>
      <c r="H99">
        <f t="shared" si="13"/>
        <v>0</v>
      </c>
      <c r="I99">
        <f t="shared" si="19"/>
        <v>29.869157550788465</v>
      </c>
      <c r="K99" s="1">
        <v>45855</v>
      </c>
      <c r="L99" s="2">
        <v>1703.4</v>
      </c>
      <c r="M99" s="2">
        <f t="shared" si="14"/>
        <v>1.410934744268131E-3</v>
      </c>
      <c r="N99" s="2">
        <f t="shared" si="20"/>
        <v>14.475022761760243</v>
      </c>
      <c r="O99" s="2"/>
      <c r="P99" s="1">
        <v>45855</v>
      </c>
      <c r="Q99" s="2">
        <v>12476</v>
      </c>
      <c r="R99">
        <f t="shared" si="15"/>
        <v>-7.0041388092964025E-3</v>
      </c>
      <c r="S99">
        <f t="shared" si="21"/>
        <v>21.161817682503276</v>
      </c>
      <c r="U99" s="1">
        <v>45856</v>
      </c>
      <c r="V99" s="2">
        <v>12498</v>
      </c>
      <c r="W99">
        <f t="shared" si="16"/>
        <v>2.4009603841536616E-4</v>
      </c>
      <c r="X99">
        <f t="shared" si="22"/>
        <v>26.317497236220618</v>
      </c>
      <c r="Z99" s="2">
        <f t="shared" si="23"/>
        <v>107.31649528795231</v>
      </c>
      <c r="AA99" s="3">
        <f t="shared" si="17"/>
        <v>8.6098786196719956E-4</v>
      </c>
    </row>
    <row r="100" spans="1:27" x14ac:dyDescent="0.3">
      <c r="A100" s="1">
        <v>45855</v>
      </c>
      <c r="B100" s="2">
        <v>1583.5</v>
      </c>
      <c r="C100" s="4">
        <f t="shared" si="12"/>
        <v>-1.5175073076683929E-2</v>
      </c>
      <c r="D100" s="4">
        <f t="shared" si="18"/>
        <v>15.257892648642523</v>
      </c>
      <c r="E100" s="4"/>
      <c r="F100" s="1">
        <v>45852</v>
      </c>
      <c r="G100">
        <v>808.85</v>
      </c>
      <c r="H100">
        <f t="shared" si="13"/>
        <v>2.4732578989679772E-4</v>
      </c>
      <c r="I100">
        <f t="shared" si="19"/>
        <v>29.876544963773263</v>
      </c>
      <c r="K100" s="1">
        <v>45856</v>
      </c>
      <c r="L100" s="2">
        <v>1693.6</v>
      </c>
      <c r="M100" s="2">
        <f t="shared" si="14"/>
        <v>-5.7531994833862751E-3</v>
      </c>
      <c r="N100" s="2">
        <f t="shared" si="20"/>
        <v>14.39174506828528</v>
      </c>
      <c r="O100" s="2"/>
      <c r="P100" s="1">
        <v>45856</v>
      </c>
      <c r="Q100" s="2">
        <v>12419</v>
      </c>
      <c r="R100">
        <f t="shared" si="15"/>
        <v>-4.5687720423212572E-3</v>
      </c>
      <c r="S100">
        <f t="shared" si="21"/>
        <v>21.065134161510755</v>
      </c>
      <c r="U100" s="1">
        <v>45859</v>
      </c>
      <c r="V100" s="2">
        <v>12577</v>
      </c>
      <c r="W100">
        <f t="shared" si="16"/>
        <v>6.3210113618178913E-3</v>
      </c>
      <c r="X100">
        <f t="shared" si="22"/>
        <v>26.483850435265381</v>
      </c>
      <c r="Z100" s="2">
        <f t="shared" si="23"/>
        <v>107.07516727747721</v>
      </c>
      <c r="AA100" s="3">
        <f t="shared" si="17"/>
        <v>-2.2487503885360027E-3</v>
      </c>
    </row>
    <row r="101" spans="1:27" x14ac:dyDescent="0.3">
      <c r="A101" s="1">
        <v>45856</v>
      </c>
      <c r="B101" s="2">
        <v>1586.1</v>
      </c>
      <c r="C101" s="4">
        <f t="shared" si="12"/>
        <v>1.6419324281653988E-3</v>
      </c>
      <c r="D101" s="4">
        <f t="shared" si="18"/>
        <v>15.282945077367796</v>
      </c>
      <c r="E101" s="4"/>
      <c r="F101" s="1">
        <v>45853</v>
      </c>
      <c r="G101">
        <v>816.45</v>
      </c>
      <c r="H101">
        <f t="shared" si="13"/>
        <v>9.3960561290721677E-3</v>
      </c>
      <c r="I101">
        <f t="shared" si="19"/>
        <v>30.157266657195628</v>
      </c>
      <c r="K101" s="1">
        <v>45859</v>
      </c>
      <c r="L101" s="2">
        <v>1692.3</v>
      </c>
      <c r="M101" s="2">
        <f t="shared" si="14"/>
        <v>-7.6759565422765386E-4</v>
      </c>
      <c r="N101" s="2">
        <f t="shared" si="20"/>
        <v>14.380698027314111</v>
      </c>
      <c r="O101" s="2"/>
      <c r="P101" s="1">
        <v>45859</v>
      </c>
      <c r="Q101" s="2">
        <v>12405</v>
      </c>
      <c r="R101">
        <f t="shared" si="15"/>
        <v>-1.1273049359851841E-3</v>
      </c>
      <c r="S101">
        <f t="shared" si="21"/>
        <v>21.041387331793292</v>
      </c>
      <c r="U101" s="1">
        <v>45860</v>
      </c>
      <c r="V101" s="2">
        <v>12452</v>
      </c>
      <c r="W101">
        <f t="shared" si="16"/>
        <v>-9.9387771328615735E-3</v>
      </c>
      <c r="X101">
        <f t="shared" si="22"/>
        <v>26.220633348169237</v>
      </c>
      <c r="Z101" s="2">
        <f t="shared" si="23"/>
        <v>107.08293044184006</v>
      </c>
      <c r="AA101" s="3">
        <f t="shared" si="17"/>
        <v>7.2502005462604657E-5</v>
      </c>
    </row>
    <row r="102" spans="1:27" x14ac:dyDescent="0.3">
      <c r="A102" s="1">
        <v>45859</v>
      </c>
      <c r="B102" s="2">
        <v>1584.3</v>
      </c>
      <c r="C102" s="4">
        <f t="shared" si="12"/>
        <v>-1.1348590883298371E-3</v>
      </c>
      <c r="D102" s="4">
        <f t="shared" si="18"/>
        <v>15.265601088250298</v>
      </c>
      <c r="E102" s="4"/>
      <c r="F102" s="1">
        <v>45854</v>
      </c>
      <c r="G102">
        <v>831.7</v>
      </c>
      <c r="H102">
        <f t="shared" si="13"/>
        <v>1.8678424888235654E-2</v>
      </c>
      <c r="I102">
        <f t="shared" si="19"/>
        <v>30.720556897286549</v>
      </c>
      <c r="K102" s="1">
        <v>45860</v>
      </c>
      <c r="L102" s="2">
        <v>1678</v>
      </c>
      <c r="M102" s="2">
        <f t="shared" si="14"/>
        <v>-8.4500384092654705E-3</v>
      </c>
      <c r="N102" s="2">
        <f t="shared" si="20"/>
        <v>14.259180576631257</v>
      </c>
      <c r="O102" s="2"/>
      <c r="P102" s="1">
        <v>45860</v>
      </c>
      <c r="Q102" s="2">
        <v>12492</v>
      </c>
      <c r="R102">
        <f t="shared" si="15"/>
        <v>7.0133010882708589E-3</v>
      </c>
      <c r="S102">
        <f t="shared" si="21"/>
        <v>21.188956916466086</v>
      </c>
      <c r="U102" s="1">
        <v>45861</v>
      </c>
      <c r="V102" s="2">
        <v>12372</v>
      </c>
      <c r="W102">
        <f t="shared" si="16"/>
        <v>-6.4246707356247993E-3</v>
      </c>
      <c r="X102">
        <f t="shared" si="22"/>
        <v>26.052174412427707</v>
      </c>
      <c r="Z102" s="2">
        <f t="shared" si="23"/>
        <v>107.4864698910619</v>
      </c>
      <c r="AA102" s="3">
        <f t="shared" si="17"/>
        <v>3.768475961171136E-3</v>
      </c>
    </row>
    <row r="103" spans="1:27" x14ac:dyDescent="0.3">
      <c r="A103" s="1">
        <v>45860</v>
      </c>
      <c r="B103" s="2">
        <v>1570.9</v>
      </c>
      <c r="C103" s="4">
        <f t="shared" si="12"/>
        <v>-8.4579940667801959E-3</v>
      </c>
      <c r="D103" s="4">
        <f t="shared" si="18"/>
        <v>15.136484724820043</v>
      </c>
      <c r="E103" s="4"/>
      <c r="F103" s="1">
        <v>45855</v>
      </c>
      <c r="G103">
        <v>829</v>
      </c>
      <c r="H103">
        <f t="shared" si="13"/>
        <v>-3.2463628712276608E-3</v>
      </c>
      <c r="I103">
        <f t="shared" si="19"/>
        <v>30.620826821991759</v>
      </c>
      <c r="K103" s="1">
        <v>45861</v>
      </c>
      <c r="L103" s="2">
        <v>1682.5</v>
      </c>
      <c r="M103" s="2">
        <f t="shared" si="14"/>
        <v>2.6817640047675805E-3</v>
      </c>
      <c r="N103" s="2">
        <f t="shared" si="20"/>
        <v>14.297420333839149</v>
      </c>
      <c r="O103" s="2"/>
      <c r="P103" s="1">
        <v>45861</v>
      </c>
      <c r="Q103" s="2">
        <v>12627</v>
      </c>
      <c r="R103">
        <f t="shared" si="15"/>
        <v>1.0806916426512969E-2</v>
      </c>
      <c r="S103">
        <f t="shared" si="21"/>
        <v>21.417944203027318</v>
      </c>
      <c r="U103" s="1">
        <v>45862</v>
      </c>
      <c r="V103" s="2">
        <v>12304</v>
      </c>
      <c r="W103">
        <f t="shared" si="16"/>
        <v>-5.4962819269317818E-3</v>
      </c>
      <c r="X103">
        <f t="shared" si="22"/>
        <v>25.908984317047405</v>
      </c>
      <c r="Z103" s="2">
        <f t="shared" si="23"/>
        <v>107.38166040072568</v>
      </c>
      <c r="AA103" s="3">
        <f t="shared" si="17"/>
        <v>-9.7509472999202096E-4</v>
      </c>
    </row>
    <row r="104" spans="1:27" x14ac:dyDescent="0.3">
      <c r="A104" s="1">
        <v>45861</v>
      </c>
      <c r="B104" s="2">
        <v>1574.5</v>
      </c>
      <c r="C104" s="4">
        <f t="shared" si="12"/>
        <v>2.2916799287032333E-3</v>
      </c>
      <c r="D104" s="4">
        <f t="shared" si="18"/>
        <v>15.171172703055035</v>
      </c>
      <c r="E104" s="4"/>
      <c r="F104" s="1">
        <v>45856</v>
      </c>
      <c r="G104">
        <v>823.35</v>
      </c>
      <c r="H104">
        <f t="shared" si="13"/>
        <v>-6.8154402895054004E-3</v>
      </c>
      <c r="I104">
        <f t="shared" si="19"/>
        <v>30.412132405171189</v>
      </c>
      <c r="K104" s="1">
        <v>45862</v>
      </c>
      <c r="L104" s="2">
        <v>1692</v>
      </c>
      <c r="M104" s="2">
        <f t="shared" si="14"/>
        <v>5.6463595839524516E-3</v>
      </c>
      <c r="N104" s="2">
        <f t="shared" si="20"/>
        <v>14.378148710166919</v>
      </c>
      <c r="O104" s="2"/>
      <c r="P104" s="1">
        <v>45862</v>
      </c>
      <c r="Q104" s="2">
        <v>12557</v>
      </c>
      <c r="R104">
        <f t="shared" si="15"/>
        <v>-5.5436762493070403E-3</v>
      </c>
      <c r="S104">
        <f t="shared" si="21"/>
        <v>21.29921005444001</v>
      </c>
      <c r="U104" s="1">
        <v>45863</v>
      </c>
      <c r="V104" s="2">
        <v>12250</v>
      </c>
      <c r="W104">
        <f t="shared" si="16"/>
        <v>-4.3888166449934981E-3</v>
      </c>
      <c r="X104">
        <f t="shared" si="22"/>
        <v>25.795274535421875</v>
      </c>
      <c r="Z104" s="2">
        <f t="shared" si="23"/>
        <v>107.05593840825503</v>
      </c>
      <c r="AA104" s="3">
        <f t="shared" si="17"/>
        <v>-3.0333111935048063E-3</v>
      </c>
    </row>
    <row r="105" spans="1:27" x14ac:dyDescent="0.3">
      <c r="A105" s="1">
        <v>45862</v>
      </c>
      <c r="B105" s="2">
        <v>1552.5</v>
      </c>
      <c r="C105" s="4">
        <f t="shared" si="12"/>
        <v>-1.3972689742775483E-2</v>
      </c>
      <c r="D105" s="4">
        <f t="shared" si="18"/>
        <v>14.959190613841184</v>
      </c>
      <c r="E105" s="4"/>
      <c r="F105" s="1">
        <v>45856</v>
      </c>
      <c r="G105">
        <v>823.35</v>
      </c>
      <c r="H105">
        <f t="shared" si="13"/>
        <v>0</v>
      </c>
      <c r="I105">
        <f t="shared" si="19"/>
        <v>30.412132405171189</v>
      </c>
      <c r="K105" s="1">
        <v>45863</v>
      </c>
      <c r="L105" s="2">
        <v>1699</v>
      </c>
      <c r="M105" s="2">
        <f t="shared" si="14"/>
        <v>4.1371158392434987E-3</v>
      </c>
      <c r="N105" s="2">
        <f t="shared" si="20"/>
        <v>14.43763277693475</v>
      </c>
      <c r="O105" s="2"/>
      <c r="P105" s="1">
        <v>45863</v>
      </c>
      <c r="Q105" s="2">
        <v>12404</v>
      </c>
      <c r="R105">
        <f t="shared" si="15"/>
        <v>-1.2184438958349924E-2</v>
      </c>
      <c r="S105">
        <f t="shared" si="21"/>
        <v>21.039691129670612</v>
      </c>
      <c r="U105" s="1">
        <v>45866</v>
      </c>
      <c r="V105" s="2">
        <v>12240</v>
      </c>
      <c r="W105">
        <f t="shared" si="16"/>
        <v>-8.1632653061224493E-4</v>
      </c>
      <c r="X105">
        <f t="shared" si="22"/>
        <v>25.774217168454182</v>
      </c>
      <c r="Z105" s="2">
        <f t="shared" si="23"/>
        <v>106.62286409407191</v>
      </c>
      <c r="AA105" s="3">
        <f t="shared" si="17"/>
        <v>-4.0453086547296291E-3</v>
      </c>
    </row>
    <row r="106" spans="1:27" x14ac:dyDescent="0.3">
      <c r="A106" s="1">
        <v>45863</v>
      </c>
      <c r="B106" s="2">
        <v>1515.7</v>
      </c>
      <c r="C106" s="4">
        <f t="shared" si="12"/>
        <v>-2.3703703703703675E-2</v>
      </c>
      <c r="D106" s="4">
        <f t="shared" si="18"/>
        <v>14.604602391883468</v>
      </c>
      <c r="E106" s="4"/>
      <c r="F106" s="1">
        <v>45859</v>
      </c>
      <c r="G106">
        <v>824.2</v>
      </c>
      <c r="H106">
        <f t="shared" si="13"/>
        <v>1.0323677658347272E-3</v>
      </c>
      <c r="I106">
        <f t="shared" si="19"/>
        <v>30.443528910356587</v>
      </c>
      <c r="K106" s="1">
        <v>45866</v>
      </c>
      <c r="L106" s="2">
        <v>1702.2</v>
      </c>
      <c r="M106" s="2">
        <f t="shared" si="14"/>
        <v>1.8834608593290439E-3</v>
      </c>
      <c r="N106" s="2">
        <f t="shared" si="20"/>
        <v>14.464825493171473</v>
      </c>
      <c r="O106" s="2"/>
      <c r="P106" s="1">
        <v>45866</v>
      </c>
      <c r="Q106" s="2">
        <v>12340</v>
      </c>
      <c r="R106">
        <f t="shared" si="15"/>
        <v>-5.1596259271202835E-3</v>
      </c>
      <c r="S106">
        <f t="shared" si="21"/>
        <v>20.931134193819361</v>
      </c>
      <c r="U106" s="1">
        <v>45867</v>
      </c>
      <c r="V106" s="2">
        <v>12221</v>
      </c>
      <c r="W106">
        <f t="shared" si="16"/>
        <v>-1.5522875816993463E-3</v>
      </c>
      <c r="X106">
        <f t="shared" si="22"/>
        <v>25.73420817121557</v>
      </c>
      <c r="Z106" s="2">
        <f t="shared" si="23"/>
        <v>106.17829916044646</v>
      </c>
      <c r="AA106" s="3">
        <f t="shared" si="17"/>
        <v>-4.1695084577095809E-3</v>
      </c>
    </row>
    <row r="107" spans="1:27" x14ac:dyDescent="0.3">
      <c r="A107" s="1">
        <v>45866</v>
      </c>
      <c r="B107" s="2">
        <v>1516</v>
      </c>
      <c r="C107" s="4">
        <f t="shared" si="12"/>
        <v>1.9792834993729268E-4</v>
      </c>
      <c r="D107" s="4">
        <f t="shared" si="18"/>
        <v>14.607493056736384</v>
      </c>
      <c r="E107" s="4"/>
      <c r="F107" s="1">
        <v>45859</v>
      </c>
      <c r="G107">
        <v>824.2</v>
      </c>
      <c r="H107">
        <f t="shared" si="13"/>
        <v>0</v>
      </c>
      <c r="I107">
        <f t="shared" si="19"/>
        <v>30.443528910356587</v>
      </c>
      <c r="K107" s="1">
        <v>45867</v>
      </c>
      <c r="L107" s="2">
        <v>1710.5</v>
      </c>
      <c r="M107" s="2">
        <f t="shared" si="14"/>
        <v>4.8760427681823256E-3</v>
      </c>
      <c r="N107" s="2">
        <f t="shared" si="20"/>
        <v>14.535356600910472</v>
      </c>
      <c r="O107" s="2"/>
      <c r="P107" s="1">
        <v>45867</v>
      </c>
      <c r="Q107" s="2">
        <v>12469</v>
      </c>
      <c r="R107">
        <f t="shared" si="15"/>
        <v>1.0453808752025931E-2</v>
      </c>
      <c r="S107">
        <f t="shared" si="21"/>
        <v>21.149944267644536</v>
      </c>
      <c r="U107" s="1">
        <v>45868</v>
      </c>
      <c r="V107" s="2">
        <v>12268</v>
      </c>
      <c r="W107">
        <f t="shared" si="16"/>
        <v>3.8458391293674822E-3</v>
      </c>
      <c r="X107">
        <f t="shared" si="22"/>
        <v>25.833177795963717</v>
      </c>
      <c r="Z107" s="2">
        <f t="shared" si="23"/>
        <v>106.56950063161169</v>
      </c>
      <c r="AA107" s="3">
        <f t="shared" si="17"/>
        <v>3.6843825363419569E-3</v>
      </c>
    </row>
    <row r="108" spans="1:27" x14ac:dyDescent="0.3">
      <c r="A108" s="1">
        <v>45867</v>
      </c>
      <c r="B108" s="2">
        <v>1513.7</v>
      </c>
      <c r="C108" s="4">
        <f t="shared" si="12"/>
        <v>-1.517150395778334E-3</v>
      </c>
      <c r="D108" s="4">
        <f t="shared" si="18"/>
        <v>14.585331292864026</v>
      </c>
      <c r="E108" s="4"/>
      <c r="F108" s="1">
        <v>45860</v>
      </c>
      <c r="G108">
        <v>815</v>
      </c>
      <c r="H108">
        <f t="shared" si="13"/>
        <v>-1.1162339238049072E-2</v>
      </c>
      <c r="I108">
        <f t="shared" si="19"/>
        <v>30.103707913055832</v>
      </c>
      <c r="K108" s="1">
        <v>45868</v>
      </c>
      <c r="L108" s="2">
        <v>1733.8</v>
      </c>
      <c r="M108" s="2">
        <f t="shared" si="14"/>
        <v>1.3621748026892694E-2</v>
      </c>
      <c r="N108" s="2">
        <f t="shared" si="20"/>
        <v>14.733353566009107</v>
      </c>
      <c r="O108" s="2"/>
      <c r="P108" s="1">
        <v>45868</v>
      </c>
      <c r="Q108" s="2">
        <v>12618</v>
      </c>
      <c r="R108">
        <f t="shared" si="15"/>
        <v>1.1949635095035688E-2</v>
      </c>
      <c r="S108">
        <f t="shared" si="21"/>
        <v>21.402678383923227</v>
      </c>
      <c r="U108" s="1">
        <v>45869</v>
      </c>
      <c r="V108" s="2">
        <v>12249</v>
      </c>
      <c r="W108">
        <f t="shared" si="16"/>
        <v>-1.5487447016628627E-3</v>
      </c>
      <c r="X108">
        <f t="shared" si="22"/>
        <v>25.793168798725102</v>
      </c>
      <c r="Z108" s="2">
        <f t="shared" si="23"/>
        <v>106.61823995457729</v>
      </c>
      <c r="AA108" s="3">
        <f t="shared" si="17"/>
        <v>4.573477653244673E-4</v>
      </c>
    </row>
    <row r="109" spans="1:27" x14ac:dyDescent="0.3">
      <c r="A109" s="1">
        <v>45868</v>
      </c>
      <c r="B109" s="2">
        <v>1519</v>
      </c>
      <c r="C109" s="4">
        <f t="shared" si="12"/>
        <v>3.5013542974168953E-3</v>
      </c>
      <c r="D109" s="4">
        <f t="shared" si="18"/>
        <v>14.636399705265546</v>
      </c>
      <c r="E109" s="4"/>
      <c r="F109" s="1">
        <v>45861</v>
      </c>
      <c r="G109">
        <v>820.65</v>
      </c>
      <c r="H109">
        <f t="shared" si="13"/>
        <v>6.9325153374232848E-3</v>
      </c>
      <c r="I109">
        <f t="shared" si="19"/>
        <v>30.312402329876402</v>
      </c>
      <c r="K109" s="1">
        <v>45869</v>
      </c>
      <c r="L109" s="2">
        <v>1706.7</v>
      </c>
      <c r="M109" s="2">
        <f t="shared" si="14"/>
        <v>-1.5630407198062007E-2</v>
      </c>
      <c r="N109" s="2">
        <f t="shared" si="20"/>
        <v>14.503065250379366</v>
      </c>
      <c r="O109" s="2"/>
      <c r="P109" s="1">
        <v>45869</v>
      </c>
      <c r="Q109" s="2">
        <v>12608</v>
      </c>
      <c r="R109">
        <f t="shared" si="15"/>
        <v>-7.9251862418766843E-4</v>
      </c>
      <c r="S109">
        <f t="shared" si="21"/>
        <v>21.385716362696467</v>
      </c>
      <c r="U109" s="1">
        <v>45870</v>
      </c>
      <c r="V109" s="2">
        <v>12113</v>
      </c>
      <c r="W109">
        <f t="shared" si="16"/>
        <v>-1.1102947179361581E-2</v>
      </c>
      <c r="X109">
        <f t="shared" si="22"/>
        <v>25.506788607964502</v>
      </c>
      <c r="Z109" s="2">
        <f t="shared" si="23"/>
        <v>106.34437225618228</v>
      </c>
      <c r="AA109" s="3">
        <f t="shared" si="17"/>
        <v>-2.5686758523840725E-3</v>
      </c>
    </row>
    <row r="110" spans="1:27" x14ac:dyDescent="0.3">
      <c r="A110" s="1">
        <v>45869</v>
      </c>
      <c r="B110" s="2">
        <v>1509</v>
      </c>
      <c r="C110" s="4">
        <f t="shared" si="12"/>
        <v>-6.5832784726793945E-3</v>
      </c>
      <c r="D110" s="4">
        <f t="shared" si="18"/>
        <v>14.540044210168341</v>
      </c>
      <c r="E110" s="4"/>
      <c r="F110" s="1">
        <v>45862</v>
      </c>
      <c r="G110">
        <v>815.7</v>
      </c>
      <c r="H110">
        <f t="shared" si="13"/>
        <v>-6.0318040577590102E-3</v>
      </c>
      <c r="I110">
        <f t="shared" si="19"/>
        <v>30.129563858502628</v>
      </c>
      <c r="K110" s="1">
        <v>45870</v>
      </c>
      <c r="L110" s="2">
        <v>1629.7</v>
      </c>
      <c r="M110" s="2">
        <f t="shared" si="14"/>
        <v>-4.5116306322142141E-2</v>
      </c>
      <c r="N110" s="2">
        <f t="shared" si="20"/>
        <v>13.848740515933235</v>
      </c>
      <c r="O110" s="2"/>
      <c r="P110" s="1">
        <v>45870</v>
      </c>
      <c r="Q110" s="2">
        <v>12302</v>
      </c>
      <c r="R110">
        <f t="shared" si="15"/>
        <v>-2.4270304568527919E-2</v>
      </c>
      <c r="S110">
        <f t="shared" si="21"/>
        <v>20.866678513157673</v>
      </c>
      <c r="U110" s="1">
        <v>45873</v>
      </c>
      <c r="V110" s="2">
        <v>12257</v>
      </c>
      <c r="W110">
        <f t="shared" si="16"/>
        <v>1.1888054156691159E-2</v>
      </c>
      <c r="X110">
        <f t="shared" si="22"/>
        <v>25.810014692299259</v>
      </c>
      <c r="Z110" s="2">
        <f t="shared" si="23"/>
        <v>105.19504179006114</v>
      </c>
      <c r="AA110" s="3">
        <f t="shared" si="17"/>
        <v>-1.0807628478471942E-2</v>
      </c>
    </row>
    <row r="111" spans="1:27" x14ac:dyDescent="0.3">
      <c r="A111" s="1">
        <v>45870</v>
      </c>
      <c r="B111" s="2">
        <v>1469.6</v>
      </c>
      <c r="C111" s="4">
        <f t="shared" si="12"/>
        <v>-2.6110006626905297E-2</v>
      </c>
      <c r="D111" s="4">
        <f t="shared" si="18"/>
        <v>14.160403559485349</v>
      </c>
      <c r="E111" s="4"/>
      <c r="F111" s="1">
        <v>45863</v>
      </c>
      <c r="G111">
        <v>806.55</v>
      </c>
      <c r="H111">
        <f t="shared" si="13"/>
        <v>-1.1217359323280728E-2</v>
      </c>
      <c r="I111">
        <f t="shared" si="19"/>
        <v>29.791589714448072</v>
      </c>
      <c r="K111" s="1">
        <v>45873</v>
      </c>
      <c r="L111" s="2">
        <v>1641.6</v>
      </c>
      <c r="M111" s="2">
        <f t="shared" si="14"/>
        <v>7.3019574154751573E-3</v>
      </c>
      <c r="N111" s="2">
        <f t="shared" si="20"/>
        <v>13.949863429438544</v>
      </c>
      <c r="O111" s="2"/>
      <c r="P111" s="1">
        <v>45873</v>
      </c>
      <c r="Q111" s="2">
        <v>12365</v>
      </c>
      <c r="R111">
        <f t="shared" si="15"/>
        <v>5.1211185173142574E-3</v>
      </c>
      <c r="S111">
        <f t="shared" si="21"/>
        <v>20.973539246886251</v>
      </c>
      <c r="U111" s="1">
        <v>45874</v>
      </c>
      <c r="V111" s="2">
        <v>12298</v>
      </c>
      <c r="W111">
        <f t="shared" si="16"/>
        <v>3.3450273313208778E-3</v>
      </c>
      <c r="X111">
        <f t="shared" si="22"/>
        <v>25.896349896866795</v>
      </c>
      <c r="Z111" s="2">
        <f t="shared" si="23"/>
        <v>104.77174584712502</v>
      </c>
      <c r="AA111" s="3">
        <f t="shared" si="17"/>
        <v>-4.0239153455625676E-3</v>
      </c>
    </row>
    <row r="112" spans="1:27" x14ac:dyDescent="0.3">
      <c r="A112" s="1">
        <v>45873</v>
      </c>
      <c r="B112" s="2">
        <v>1480.5</v>
      </c>
      <c r="C112" s="4">
        <f t="shared" si="12"/>
        <v>7.4169842133914613E-3</v>
      </c>
      <c r="D112" s="4">
        <f t="shared" si="18"/>
        <v>14.265431049141306</v>
      </c>
      <c r="E112" s="4"/>
      <c r="F112" s="1">
        <v>45866</v>
      </c>
      <c r="G112">
        <v>797.15</v>
      </c>
      <c r="H112">
        <f t="shared" si="13"/>
        <v>-1.1654578141466714E-2</v>
      </c>
      <c r="I112">
        <f t="shared" si="19"/>
        <v>29.444381304162519</v>
      </c>
      <c r="K112" s="1">
        <v>45874</v>
      </c>
      <c r="L112" s="2">
        <v>1632.1</v>
      </c>
      <c r="M112" s="2">
        <f t="shared" si="14"/>
        <v>-5.7870370370370376E-3</v>
      </c>
      <c r="N112" s="2">
        <f t="shared" si="20"/>
        <v>13.869135053110774</v>
      </c>
      <c r="O112" s="2"/>
      <c r="P112" s="1">
        <v>45874</v>
      </c>
      <c r="Q112" s="2">
        <v>12537</v>
      </c>
      <c r="R112">
        <f t="shared" si="15"/>
        <v>1.391023048928427E-2</v>
      </c>
      <c r="S112">
        <f t="shared" si="21"/>
        <v>21.265286011986486</v>
      </c>
      <c r="U112" s="1">
        <v>45875</v>
      </c>
      <c r="V112" s="2">
        <v>12226</v>
      </c>
      <c r="W112">
        <f t="shared" si="16"/>
        <v>-5.8546105057732962E-3</v>
      </c>
      <c r="X112">
        <f t="shared" si="22"/>
        <v>25.744736854699418</v>
      </c>
      <c r="Z112" s="2">
        <f t="shared" si="23"/>
        <v>104.5889702731005</v>
      </c>
      <c r="AA112" s="3">
        <f t="shared" si="17"/>
        <v>-1.7445120585392049E-3</v>
      </c>
    </row>
    <row r="113" spans="1:27" x14ac:dyDescent="0.3">
      <c r="A113" s="1">
        <v>45874</v>
      </c>
      <c r="B113" s="2">
        <v>1460.3</v>
      </c>
      <c r="C113" s="4">
        <f t="shared" si="12"/>
        <v>-1.36440391759541E-2</v>
      </c>
      <c r="D113" s="4">
        <f t="shared" si="18"/>
        <v>14.070792949044948</v>
      </c>
      <c r="E113" s="4"/>
      <c r="F113" s="1">
        <v>45867</v>
      </c>
      <c r="G113">
        <v>799.2</v>
      </c>
      <c r="H113">
        <f t="shared" si="13"/>
        <v>2.5716615442514814E-3</v>
      </c>
      <c r="I113">
        <f t="shared" si="19"/>
        <v>29.520102287256712</v>
      </c>
      <c r="K113" s="1">
        <v>45875</v>
      </c>
      <c r="L113" s="2">
        <v>1595.2</v>
      </c>
      <c r="M113" s="2">
        <f t="shared" si="14"/>
        <v>-2.2608908767845024E-2</v>
      </c>
      <c r="N113" s="2">
        <f t="shared" si="20"/>
        <v>13.555569044006072</v>
      </c>
      <c r="O113" s="2"/>
      <c r="P113" s="1">
        <v>45875</v>
      </c>
      <c r="Q113" s="2">
        <v>12524</v>
      </c>
      <c r="R113">
        <f t="shared" si="15"/>
        <v>-1.0369306851718912E-3</v>
      </c>
      <c r="S113">
        <f t="shared" si="21"/>
        <v>21.243235384391703</v>
      </c>
      <c r="U113" s="1">
        <v>45876</v>
      </c>
      <c r="V113" s="2">
        <v>12273</v>
      </c>
      <c r="W113">
        <f t="shared" si="16"/>
        <v>3.8442663176836249E-3</v>
      </c>
      <c r="X113">
        <f t="shared" si="22"/>
        <v>25.843706479447569</v>
      </c>
      <c r="Z113" s="2">
        <f t="shared" si="23"/>
        <v>104.23340614414701</v>
      </c>
      <c r="AA113" s="3">
        <f t="shared" si="17"/>
        <v>-3.3996331355500287E-3</v>
      </c>
    </row>
    <row r="114" spans="1:27" x14ac:dyDescent="0.3">
      <c r="A114" s="1">
        <v>45875</v>
      </c>
      <c r="B114" s="2">
        <v>1436.7</v>
      </c>
      <c r="C114" s="4">
        <f t="shared" si="12"/>
        <v>-1.616106279531597E-2</v>
      </c>
      <c r="D114" s="4">
        <f t="shared" si="18"/>
        <v>13.843393980615545</v>
      </c>
      <c r="E114" s="4"/>
      <c r="F114" s="1">
        <v>45868</v>
      </c>
      <c r="G114">
        <v>801.65</v>
      </c>
      <c r="H114">
        <f t="shared" si="13"/>
        <v>3.06556556556548E-3</v>
      </c>
      <c r="I114">
        <f t="shared" si="19"/>
        <v>29.610598096320501</v>
      </c>
      <c r="K114" s="1">
        <v>45876</v>
      </c>
      <c r="L114" s="2">
        <v>1598.4</v>
      </c>
      <c r="M114" s="2">
        <f t="shared" si="14"/>
        <v>2.0060180541625161E-3</v>
      </c>
      <c r="N114" s="2">
        <f t="shared" si="20"/>
        <v>13.582761760242795</v>
      </c>
      <c r="O114" s="2"/>
      <c r="P114" s="1">
        <v>45876</v>
      </c>
      <c r="Q114" s="2">
        <v>12632</v>
      </c>
      <c r="R114">
        <f t="shared" si="15"/>
        <v>8.6234429894602362E-3</v>
      </c>
      <c r="S114">
        <f t="shared" si="21"/>
        <v>21.426425213640691</v>
      </c>
      <c r="U114" s="1">
        <v>45877</v>
      </c>
      <c r="V114" s="2">
        <v>12157</v>
      </c>
      <c r="W114">
        <f t="shared" si="16"/>
        <v>-9.4516418153670657E-3</v>
      </c>
      <c r="X114">
        <f t="shared" si="22"/>
        <v>25.599441022622351</v>
      </c>
      <c r="Z114" s="2">
        <f t="shared" si="23"/>
        <v>104.06262007344188</v>
      </c>
      <c r="AA114" s="3">
        <f t="shared" si="17"/>
        <v>-1.6384964957294468E-3</v>
      </c>
    </row>
    <row r="115" spans="1:27" x14ac:dyDescent="0.3">
      <c r="A115" s="1">
        <v>45876</v>
      </c>
      <c r="B115" s="2">
        <v>1436.9</v>
      </c>
      <c r="C115" s="4">
        <f t="shared" si="12"/>
        <v>1.3920790700914978E-4</v>
      </c>
      <c r="D115" s="4">
        <f t="shared" si="18"/>
        <v>13.845321090517489</v>
      </c>
      <c r="E115" s="4"/>
      <c r="F115" s="1">
        <v>45869</v>
      </c>
      <c r="G115">
        <v>796.55</v>
      </c>
      <c r="H115">
        <f t="shared" si="13"/>
        <v>-6.3618786253352745E-3</v>
      </c>
      <c r="I115">
        <f t="shared" si="19"/>
        <v>29.422219065208125</v>
      </c>
      <c r="K115" s="1">
        <v>45877</v>
      </c>
      <c r="L115" s="2">
        <v>1586.9</v>
      </c>
      <c r="M115" s="2">
        <f t="shared" si="14"/>
        <v>-7.1946946946946939E-3</v>
      </c>
      <c r="N115" s="2">
        <f t="shared" si="20"/>
        <v>13.485037936267073</v>
      </c>
      <c r="O115" s="2"/>
      <c r="P115" s="1">
        <v>45877</v>
      </c>
      <c r="Q115" s="2">
        <v>12590</v>
      </c>
      <c r="R115">
        <f t="shared" si="15"/>
        <v>-3.324889170360988E-3</v>
      </c>
      <c r="S115">
        <f t="shared" si="21"/>
        <v>21.355184724488307</v>
      </c>
      <c r="U115" s="1">
        <v>45880</v>
      </c>
      <c r="V115" s="2">
        <v>12405</v>
      </c>
      <c r="W115">
        <f t="shared" si="16"/>
        <v>2.039976968001974E-2</v>
      </c>
      <c r="X115">
        <f t="shared" si="22"/>
        <v>26.121663723421097</v>
      </c>
      <c r="Z115" s="2">
        <f t="shared" si="23"/>
        <v>104.22942653990209</v>
      </c>
      <c r="AA115" s="3">
        <f t="shared" si="17"/>
        <v>1.6029431734707611E-3</v>
      </c>
    </row>
    <row r="116" spans="1:27" x14ac:dyDescent="0.3">
      <c r="A116" s="1">
        <v>45877</v>
      </c>
      <c r="B116" s="2">
        <v>1423.1</v>
      </c>
      <c r="C116" s="4">
        <f t="shared" si="12"/>
        <v>-9.6040086296890394E-3</v>
      </c>
      <c r="D116" s="4">
        <f t="shared" si="18"/>
        <v>13.712350507283343</v>
      </c>
      <c r="E116" s="4"/>
      <c r="F116" s="1">
        <v>45870</v>
      </c>
      <c r="G116">
        <v>794</v>
      </c>
      <c r="H116">
        <f t="shared" si="13"/>
        <v>-3.2013056305316111E-3</v>
      </c>
      <c r="I116">
        <f t="shared" si="19"/>
        <v>29.328029549651941</v>
      </c>
      <c r="K116" s="1">
        <v>45880</v>
      </c>
      <c r="L116" s="2">
        <v>1608.4</v>
      </c>
      <c r="M116" s="2">
        <f t="shared" si="14"/>
        <v>1.3548427752221311E-2</v>
      </c>
      <c r="N116" s="2">
        <f t="shared" si="20"/>
        <v>13.667738998482552</v>
      </c>
      <c r="O116" s="2"/>
      <c r="P116" s="1">
        <v>45880</v>
      </c>
      <c r="Q116" s="2">
        <v>12597</v>
      </c>
      <c r="R116">
        <f t="shared" si="15"/>
        <v>5.5599682287529786E-4</v>
      </c>
      <c r="S116">
        <f t="shared" si="21"/>
        <v>21.367058139347037</v>
      </c>
      <c r="U116" s="1">
        <v>45881</v>
      </c>
      <c r="V116" s="2">
        <v>12449</v>
      </c>
      <c r="W116">
        <f t="shared" si="16"/>
        <v>3.5469568722289401E-3</v>
      </c>
      <c r="X116">
        <f t="shared" si="22"/>
        <v>26.214316138078935</v>
      </c>
      <c r="Z116" s="2">
        <f t="shared" si="23"/>
        <v>104.28949333284382</v>
      </c>
      <c r="AA116" s="3">
        <f t="shared" si="17"/>
        <v>5.7629399811309767E-4</v>
      </c>
    </row>
    <row r="117" spans="1:27" x14ac:dyDescent="0.3">
      <c r="A117" s="1">
        <v>45880</v>
      </c>
      <c r="B117" s="2">
        <v>1428.2</v>
      </c>
      <c r="C117" s="4">
        <f t="shared" si="12"/>
        <v>3.5837256693135667E-3</v>
      </c>
      <c r="D117" s="4">
        <f t="shared" si="18"/>
        <v>13.761491809782921</v>
      </c>
      <c r="E117" s="4"/>
      <c r="F117" s="1">
        <v>45873</v>
      </c>
      <c r="G117">
        <v>795.7</v>
      </c>
      <c r="H117">
        <f t="shared" si="13"/>
        <v>2.1410579345088735E-3</v>
      </c>
      <c r="I117">
        <f t="shared" si="19"/>
        <v>29.390822560022734</v>
      </c>
      <c r="K117" s="1">
        <v>45881</v>
      </c>
      <c r="L117" s="2">
        <v>1622.2</v>
      </c>
      <c r="M117" s="2">
        <f t="shared" si="14"/>
        <v>8.579955235016137E-3</v>
      </c>
      <c r="N117" s="2">
        <f t="shared" si="20"/>
        <v>13.785007587253416</v>
      </c>
      <c r="O117" s="2"/>
      <c r="P117" s="1">
        <v>45881</v>
      </c>
      <c r="Q117" s="2">
        <v>12840</v>
      </c>
      <c r="R117">
        <f t="shared" si="15"/>
        <v>1.9290307216003812E-2</v>
      </c>
      <c r="S117">
        <f t="shared" si="21"/>
        <v>21.779235255157257</v>
      </c>
      <c r="U117" s="1">
        <v>45882</v>
      </c>
      <c r="V117" s="2">
        <v>12401</v>
      </c>
      <c r="W117">
        <f t="shared" si="16"/>
        <v>-3.8557313840469113E-3</v>
      </c>
      <c r="X117">
        <f t="shared" si="22"/>
        <v>26.113240776634015</v>
      </c>
      <c r="Z117" s="2">
        <f t="shared" si="23"/>
        <v>104.82979798885034</v>
      </c>
      <c r="AA117" s="3">
        <f t="shared" si="17"/>
        <v>5.1808158112545133E-3</v>
      </c>
    </row>
    <row r="118" spans="1:27" x14ac:dyDescent="0.3">
      <c r="A118" s="1">
        <v>45881</v>
      </c>
      <c r="B118" s="2">
        <v>1424.1</v>
      </c>
      <c r="C118" s="4">
        <f t="shared" si="12"/>
        <v>-2.8707463940625517E-3</v>
      </c>
      <c r="D118" s="4">
        <f t="shared" si="18"/>
        <v>13.721986056793066</v>
      </c>
      <c r="E118" s="4"/>
      <c r="F118" s="1">
        <v>45874</v>
      </c>
      <c r="G118">
        <v>800.6</v>
      </c>
      <c r="H118">
        <f t="shared" si="13"/>
        <v>6.1580997863516108E-3</v>
      </c>
      <c r="I118">
        <f t="shared" si="19"/>
        <v>29.571814178150305</v>
      </c>
      <c r="K118" s="1">
        <v>45882</v>
      </c>
      <c r="L118" s="2">
        <v>1639.8</v>
      </c>
      <c r="M118" s="2">
        <f t="shared" si="14"/>
        <v>1.0849463691283387E-2</v>
      </c>
      <c r="N118" s="2">
        <f t="shared" si="20"/>
        <v>13.934567526555389</v>
      </c>
      <c r="O118" s="2"/>
      <c r="P118" s="1">
        <v>45882</v>
      </c>
      <c r="Q118" s="2">
        <v>12834</v>
      </c>
      <c r="R118">
        <f t="shared" si="15"/>
        <v>-4.6728971962616824E-4</v>
      </c>
      <c r="S118">
        <f t="shared" si="21"/>
        <v>21.769058042421204</v>
      </c>
      <c r="U118" s="1">
        <v>45883</v>
      </c>
      <c r="V118" s="2">
        <v>12317</v>
      </c>
      <c r="W118">
        <f t="shared" si="16"/>
        <v>-6.7736472865091522E-3</v>
      </c>
      <c r="X118">
        <f t="shared" si="22"/>
        <v>25.936358894105407</v>
      </c>
      <c r="Z118" s="2">
        <f t="shared" si="23"/>
        <v>104.93378469802538</v>
      </c>
      <c r="AA118" s="3">
        <f t="shared" si="17"/>
        <v>9.9195754613679021E-4</v>
      </c>
    </row>
    <row r="119" spans="1:27" x14ac:dyDescent="0.3">
      <c r="A119" s="1">
        <v>45882</v>
      </c>
      <c r="B119" s="2">
        <v>1426.6</v>
      </c>
      <c r="C119" s="4">
        <f t="shared" si="12"/>
        <v>1.755494698406011E-3</v>
      </c>
      <c r="D119" s="4">
        <f t="shared" si="18"/>
        <v>13.746074930567367</v>
      </c>
      <c r="E119" s="4"/>
      <c r="F119" s="1">
        <v>45875</v>
      </c>
      <c r="G119">
        <v>805.15</v>
      </c>
      <c r="H119">
        <f t="shared" si="13"/>
        <v>5.6832375718210773E-3</v>
      </c>
      <c r="I119">
        <f t="shared" si="19"/>
        <v>29.739877823554476</v>
      </c>
      <c r="K119" s="1">
        <v>45883</v>
      </c>
      <c r="L119" s="2">
        <v>1641.4</v>
      </c>
      <c r="M119" s="2">
        <f t="shared" si="14"/>
        <v>9.7572874740830368E-4</v>
      </c>
      <c r="N119" s="2">
        <f t="shared" si="20"/>
        <v>13.948163884673752</v>
      </c>
      <c r="O119" s="2"/>
      <c r="P119" s="1">
        <v>45883</v>
      </c>
      <c r="Q119" s="2">
        <v>12936</v>
      </c>
      <c r="R119">
        <f t="shared" si="15"/>
        <v>7.9476390836839637E-3</v>
      </c>
      <c r="S119">
        <f t="shared" si="21"/>
        <v>21.942070658934135</v>
      </c>
      <c r="U119" s="1">
        <v>45887</v>
      </c>
      <c r="V119" s="2">
        <v>12765</v>
      </c>
      <c r="W119">
        <f t="shared" si="16"/>
        <v>3.6372493301940409E-2</v>
      </c>
      <c r="X119">
        <f t="shared" si="22"/>
        <v>26.879728934257979</v>
      </c>
      <c r="Z119" s="2">
        <f t="shared" si="23"/>
        <v>106.25591623198771</v>
      </c>
      <c r="AA119" s="3">
        <f t="shared" si="17"/>
        <v>1.259967452586519E-2</v>
      </c>
    </row>
    <row r="120" spans="1:27" x14ac:dyDescent="0.3">
      <c r="A120" s="1">
        <v>45883</v>
      </c>
      <c r="B120" s="2">
        <v>1447.7</v>
      </c>
      <c r="C120" s="4">
        <f t="shared" si="12"/>
        <v>1.479041076685836E-2</v>
      </c>
      <c r="D120" s="4">
        <f t="shared" si="18"/>
        <v>13.949385025222472</v>
      </c>
      <c r="E120" s="4"/>
      <c r="F120" s="1">
        <v>45876</v>
      </c>
      <c r="G120">
        <v>805.15</v>
      </c>
      <c r="H120">
        <f t="shared" si="13"/>
        <v>0</v>
      </c>
      <c r="I120">
        <f t="shared" si="19"/>
        <v>29.739877823554476</v>
      </c>
      <c r="K120" s="1">
        <v>45887</v>
      </c>
      <c r="L120" s="2">
        <v>1632.7</v>
      </c>
      <c r="M120" s="2">
        <f t="shared" si="14"/>
        <v>-5.3003533568904866E-3</v>
      </c>
      <c r="N120" s="2">
        <f t="shared" si="20"/>
        <v>13.874233687405162</v>
      </c>
      <c r="O120" s="2"/>
      <c r="P120" s="1">
        <v>45887</v>
      </c>
      <c r="Q120" s="2">
        <v>14068</v>
      </c>
      <c r="R120">
        <f t="shared" si="15"/>
        <v>8.7507730364873221E-2</v>
      </c>
      <c r="S120">
        <f t="shared" si="21"/>
        <v>23.86217146180314</v>
      </c>
      <c r="U120" s="1">
        <v>45888</v>
      </c>
      <c r="V120" s="2">
        <v>12863</v>
      </c>
      <c r="W120">
        <f t="shared" si="16"/>
        <v>7.6772424598511553E-3</v>
      </c>
      <c r="X120">
        <f t="shared" si="22"/>
        <v>27.086091130541355</v>
      </c>
      <c r="Z120" s="2">
        <f t="shared" si="23"/>
        <v>108.51175912852662</v>
      </c>
      <c r="AA120" s="3">
        <f t="shared" si="17"/>
        <v>2.1230280407292801E-2</v>
      </c>
    </row>
    <row r="121" spans="1:27" x14ac:dyDescent="0.3">
      <c r="A121" s="1">
        <v>45887</v>
      </c>
      <c r="B121" s="2">
        <v>1435.8</v>
      </c>
      <c r="C121" s="4">
        <f t="shared" si="12"/>
        <v>-8.2199350694205225E-3</v>
      </c>
      <c r="D121" s="4">
        <f t="shared" si="18"/>
        <v>13.834721986056797</v>
      </c>
      <c r="E121" s="4"/>
      <c r="F121" s="1">
        <v>45877</v>
      </c>
      <c r="G121">
        <v>804.3</v>
      </c>
      <c r="H121">
        <f t="shared" si="13"/>
        <v>-1.0557039061044808E-3</v>
      </c>
      <c r="I121">
        <f t="shared" si="19"/>
        <v>29.708481318369081</v>
      </c>
      <c r="K121" s="1">
        <v>45888</v>
      </c>
      <c r="L121" s="2">
        <v>1626.6</v>
      </c>
      <c r="M121" s="2">
        <f t="shared" si="14"/>
        <v>-3.736142585900739E-3</v>
      </c>
      <c r="N121" s="2">
        <f t="shared" si="20"/>
        <v>13.822397572078909</v>
      </c>
      <c r="O121" s="2"/>
      <c r="P121" s="1">
        <v>45888</v>
      </c>
      <c r="Q121" s="2">
        <v>14250</v>
      </c>
      <c r="R121">
        <f t="shared" si="15"/>
        <v>1.2937162354279216E-2</v>
      </c>
      <c r="S121">
        <f t="shared" si="21"/>
        <v>24.170880248130132</v>
      </c>
      <c r="U121" s="1">
        <v>45889</v>
      </c>
      <c r="V121" s="2">
        <v>12874</v>
      </c>
      <c r="W121">
        <f t="shared" si="16"/>
        <v>8.5516597994247066E-4</v>
      </c>
      <c r="X121">
        <f t="shared" si="22"/>
        <v>27.109254234205817</v>
      </c>
      <c r="Z121" s="2">
        <f t="shared" si="23"/>
        <v>108.64573535884074</v>
      </c>
      <c r="AA121" s="3">
        <f t="shared" si="17"/>
        <v>1.2346701536321003E-3</v>
      </c>
    </row>
    <row r="122" spans="1:27" x14ac:dyDescent="0.3">
      <c r="A122" s="1">
        <v>45888</v>
      </c>
      <c r="B122" s="2">
        <v>1440</v>
      </c>
      <c r="C122" s="4">
        <f t="shared" si="12"/>
        <v>2.9251984956122339E-3</v>
      </c>
      <c r="D122" s="4">
        <f t="shared" si="18"/>
        <v>13.875191293997624</v>
      </c>
      <c r="E122" s="4"/>
      <c r="F122" s="1">
        <v>45880</v>
      </c>
      <c r="G122">
        <v>823.45</v>
      </c>
      <c r="H122">
        <f t="shared" si="13"/>
        <v>2.3809523809523923E-2</v>
      </c>
      <c r="I122">
        <f t="shared" si="19"/>
        <v>30.415826111663588</v>
      </c>
      <c r="K122" s="1">
        <v>45889</v>
      </c>
      <c r="L122" s="2">
        <v>1633.1</v>
      </c>
      <c r="M122" s="2">
        <f t="shared" si="14"/>
        <v>3.996065412516907E-3</v>
      </c>
      <c r="N122" s="2">
        <f t="shared" si="20"/>
        <v>13.877632776934751</v>
      </c>
      <c r="O122" s="2"/>
      <c r="P122" s="1">
        <v>45889</v>
      </c>
      <c r="Q122" s="2">
        <v>14221</v>
      </c>
      <c r="R122">
        <f t="shared" si="15"/>
        <v>-2.0350877192982456E-3</v>
      </c>
      <c r="S122">
        <f t="shared" si="21"/>
        <v>24.121690386572531</v>
      </c>
      <c r="U122" s="1">
        <v>45890</v>
      </c>
      <c r="V122" s="2">
        <v>12870</v>
      </c>
      <c r="W122">
        <f t="shared" si="16"/>
        <v>-3.1070374398011494E-4</v>
      </c>
      <c r="X122">
        <f t="shared" si="22"/>
        <v>27.100831287418739</v>
      </c>
      <c r="Z122" s="2">
        <f t="shared" si="23"/>
        <v>109.39117185658723</v>
      </c>
      <c r="AA122" s="3">
        <f t="shared" si="17"/>
        <v>6.861166665073748E-3</v>
      </c>
    </row>
    <row r="123" spans="1:27" x14ac:dyDescent="0.3">
      <c r="A123" s="1">
        <v>45889</v>
      </c>
      <c r="B123" s="2">
        <v>1496.2</v>
      </c>
      <c r="C123" s="4">
        <f t="shared" si="12"/>
        <v>3.9027777777777807E-2</v>
      </c>
      <c r="D123" s="4">
        <f t="shared" si="18"/>
        <v>14.416709176443922</v>
      </c>
      <c r="E123" s="4"/>
      <c r="F123" s="1">
        <v>45881</v>
      </c>
      <c r="G123">
        <v>820.6</v>
      </c>
      <c r="H123">
        <f t="shared" si="13"/>
        <v>-3.4610480296314561E-3</v>
      </c>
      <c r="I123">
        <f t="shared" si="19"/>
        <v>30.310555476630203</v>
      </c>
      <c r="K123" s="1">
        <v>45890</v>
      </c>
      <c r="L123" s="2">
        <v>1640.2</v>
      </c>
      <c r="M123" s="2">
        <f t="shared" si="14"/>
        <v>4.3475598554896435E-3</v>
      </c>
      <c r="N123" s="2">
        <f t="shared" si="20"/>
        <v>13.93796661608498</v>
      </c>
      <c r="O123" s="2"/>
      <c r="P123" s="1">
        <v>45890</v>
      </c>
      <c r="Q123" s="2">
        <v>14280</v>
      </c>
      <c r="R123">
        <f t="shared" si="15"/>
        <v>4.1487940369875536E-3</v>
      </c>
      <c r="S123">
        <f t="shared" si="21"/>
        <v>24.221766311810402</v>
      </c>
      <c r="U123" s="1">
        <v>45891</v>
      </c>
      <c r="V123" s="2">
        <v>12589</v>
      </c>
      <c r="W123">
        <f t="shared" si="16"/>
        <v>-2.1833721833721835E-2</v>
      </c>
      <c r="X123">
        <f t="shared" si="22"/>
        <v>26.509119275626613</v>
      </c>
      <c r="Z123" s="2">
        <f t="shared" si="23"/>
        <v>109.39611685659612</v>
      </c>
      <c r="AA123" s="3">
        <f t="shared" si="17"/>
        <v>4.5204744815841025E-5</v>
      </c>
    </row>
    <row r="124" spans="1:27" x14ac:dyDescent="0.3">
      <c r="A124" s="1">
        <v>45890</v>
      </c>
      <c r="B124" s="2">
        <v>1496.4</v>
      </c>
      <c r="C124" s="4">
        <f t="shared" si="12"/>
        <v>1.3367196898813358E-4</v>
      </c>
      <c r="D124" s="4">
        <f t="shared" si="18"/>
        <v>14.418636286345867</v>
      </c>
      <c r="E124" s="4"/>
      <c r="F124" s="1">
        <v>45882</v>
      </c>
      <c r="G124">
        <v>821.85</v>
      </c>
      <c r="H124">
        <f t="shared" si="13"/>
        <v>1.5232756519619789E-3</v>
      </c>
      <c r="I124">
        <f t="shared" si="19"/>
        <v>30.356726807785201</v>
      </c>
      <c r="K124" s="1">
        <v>45891</v>
      </c>
      <c r="L124" s="2">
        <v>1641.8</v>
      </c>
      <c r="M124" s="2">
        <f t="shared" si="14"/>
        <v>9.7549079380557799E-4</v>
      </c>
      <c r="N124" s="2">
        <f t="shared" si="20"/>
        <v>13.951562974203339</v>
      </c>
      <c r="O124" s="2"/>
      <c r="P124" s="1">
        <v>45891</v>
      </c>
      <c r="Q124" s="2">
        <v>14349</v>
      </c>
      <c r="R124">
        <f t="shared" si="15"/>
        <v>4.8319327731092439E-3</v>
      </c>
      <c r="S124">
        <f t="shared" si="21"/>
        <v>24.338804258275033</v>
      </c>
      <c r="U124" s="1">
        <v>45894</v>
      </c>
      <c r="V124" s="2">
        <v>12606</v>
      </c>
      <c r="W124">
        <f t="shared" si="16"/>
        <v>1.3503852569703709E-3</v>
      </c>
      <c r="X124">
        <f t="shared" si="22"/>
        <v>26.544916799471686</v>
      </c>
      <c r="Z124" s="2">
        <f t="shared" si="23"/>
        <v>109.61064712608112</v>
      </c>
      <c r="AA124" s="3">
        <f t="shared" si="17"/>
        <v>1.9610409916670513E-3</v>
      </c>
    </row>
    <row r="125" spans="1:27" x14ac:dyDescent="0.3">
      <c r="A125" s="1">
        <v>45891</v>
      </c>
      <c r="B125" s="2">
        <v>1487.5</v>
      </c>
      <c r="C125" s="4">
        <f t="shared" si="12"/>
        <v>-5.9476075915531213E-3</v>
      </c>
      <c r="D125" s="4">
        <f t="shared" si="18"/>
        <v>14.332879895709354</v>
      </c>
      <c r="E125" s="4"/>
      <c r="F125" s="1">
        <v>45883</v>
      </c>
      <c r="G125">
        <v>826.55</v>
      </c>
      <c r="H125">
        <f t="shared" si="13"/>
        <v>5.7188051347568675E-3</v>
      </c>
      <c r="I125">
        <f t="shared" si="19"/>
        <v>30.530331012927977</v>
      </c>
      <c r="K125" s="1">
        <v>45894</v>
      </c>
      <c r="L125" s="2">
        <v>1656.7</v>
      </c>
      <c r="M125" s="2">
        <f t="shared" si="14"/>
        <v>9.0754050432452736E-3</v>
      </c>
      <c r="N125" s="2">
        <f t="shared" si="20"/>
        <v>14.078179059180579</v>
      </c>
      <c r="O125" s="2"/>
      <c r="P125" s="1">
        <v>45894</v>
      </c>
      <c r="Q125" s="2">
        <v>14452</v>
      </c>
      <c r="R125">
        <f t="shared" si="15"/>
        <v>7.1782005714683952E-3</v>
      </c>
      <c r="S125">
        <f t="shared" si="21"/>
        <v>24.513513076910641</v>
      </c>
      <c r="U125" s="1">
        <v>45895</v>
      </c>
      <c r="V125" s="2">
        <v>12610</v>
      </c>
      <c r="W125">
        <f t="shared" si="16"/>
        <v>3.1730921783277807E-4</v>
      </c>
      <c r="X125">
        <f t="shared" si="22"/>
        <v>26.553339746258764</v>
      </c>
      <c r="Z125" s="2">
        <f t="shared" si="23"/>
        <v>110.00824279098731</v>
      </c>
      <c r="AA125" s="3">
        <f t="shared" si="17"/>
        <v>3.6273452929154182E-3</v>
      </c>
    </row>
    <row r="126" spans="1:27" x14ac:dyDescent="0.3">
      <c r="A126" s="1">
        <v>45894</v>
      </c>
      <c r="B126" s="2">
        <v>1532.1</v>
      </c>
      <c r="C126" s="4">
        <f t="shared" si="12"/>
        <v>2.9983193277310864E-2</v>
      </c>
      <c r="D126" s="4">
        <f t="shared" si="18"/>
        <v>14.762625403842891</v>
      </c>
      <c r="E126" s="4"/>
      <c r="F126" s="1">
        <v>45883</v>
      </c>
      <c r="G126">
        <v>826.55</v>
      </c>
      <c r="H126">
        <f t="shared" si="13"/>
        <v>0</v>
      </c>
      <c r="I126">
        <f t="shared" si="19"/>
        <v>30.530331012927977</v>
      </c>
      <c r="K126" s="1">
        <v>45895</v>
      </c>
      <c r="L126" s="2">
        <v>1600.3</v>
      </c>
      <c r="M126" s="2">
        <f t="shared" si="14"/>
        <v>-3.404358061206017E-2</v>
      </c>
      <c r="N126" s="2">
        <f t="shared" si="20"/>
        <v>13.598907435508348</v>
      </c>
      <c r="O126" s="2"/>
      <c r="P126" s="1">
        <v>45895</v>
      </c>
      <c r="Q126" s="2">
        <v>14714</v>
      </c>
      <c r="R126">
        <f t="shared" si="15"/>
        <v>1.8128978688070854E-2</v>
      </c>
      <c r="S126">
        <f t="shared" si="21"/>
        <v>24.957918033051701</v>
      </c>
      <c r="U126" s="1">
        <v>45897</v>
      </c>
      <c r="V126" s="2">
        <v>12521</v>
      </c>
      <c r="W126">
        <f t="shared" si="16"/>
        <v>-7.0578905630452023E-3</v>
      </c>
      <c r="X126">
        <f t="shared" si="22"/>
        <v>26.365929180246312</v>
      </c>
      <c r="Z126" s="2">
        <f t="shared" si="23"/>
        <v>110.21571106557722</v>
      </c>
      <c r="AA126" s="3">
        <f t="shared" si="17"/>
        <v>1.885933902099568E-3</v>
      </c>
    </row>
    <row r="127" spans="1:27" x14ac:dyDescent="0.3">
      <c r="A127" s="1">
        <v>45895</v>
      </c>
      <c r="B127" s="2">
        <v>1529.6</v>
      </c>
      <c r="C127" s="4">
        <f t="shared" si="12"/>
        <v>-1.6317472749820508E-3</v>
      </c>
      <c r="D127" s="4">
        <f t="shared" si="18"/>
        <v>14.73853653006859</v>
      </c>
      <c r="E127" s="4"/>
      <c r="F127" s="1">
        <v>45887</v>
      </c>
      <c r="G127">
        <v>827.65</v>
      </c>
      <c r="H127">
        <f t="shared" si="13"/>
        <v>1.3308329804609797E-3</v>
      </c>
      <c r="I127">
        <f t="shared" si="19"/>
        <v>30.57096178434437</v>
      </c>
      <c r="K127" s="1">
        <v>45897</v>
      </c>
      <c r="L127" s="2">
        <v>1585.7</v>
      </c>
      <c r="M127" s="2">
        <f t="shared" si="14"/>
        <v>-9.1232893832405865E-3</v>
      </c>
      <c r="N127" s="2">
        <f t="shared" si="20"/>
        <v>13.474840667678304</v>
      </c>
      <c r="O127" s="2"/>
      <c r="P127" s="1">
        <v>45897</v>
      </c>
      <c r="Q127" s="2">
        <v>14752</v>
      </c>
      <c r="R127">
        <f t="shared" si="15"/>
        <v>2.5825744189207555E-3</v>
      </c>
      <c r="S127">
        <f t="shared" si="21"/>
        <v>25.022373713713382</v>
      </c>
      <c r="U127" s="1">
        <v>45898</v>
      </c>
      <c r="V127" s="2">
        <v>12640</v>
      </c>
      <c r="W127">
        <f t="shared" si="16"/>
        <v>9.5040332241833718E-3</v>
      </c>
      <c r="X127">
        <f t="shared" si="22"/>
        <v>26.616511847161838</v>
      </c>
      <c r="Z127" s="2">
        <f t="shared" si="23"/>
        <v>110.42322454296649</v>
      </c>
      <c r="AA127" s="3">
        <f t="shared" si="17"/>
        <v>1.8827939808490068E-3</v>
      </c>
    </row>
    <row r="128" spans="1:27" x14ac:dyDescent="0.3">
      <c r="A128" s="1">
        <v>45897</v>
      </c>
      <c r="B128" s="2">
        <v>1500.1</v>
      </c>
      <c r="C128" s="4">
        <f t="shared" si="12"/>
        <v>-1.9286087866108789E-2</v>
      </c>
      <c r="D128" s="4">
        <f t="shared" si="18"/>
        <v>14.454287819531833</v>
      </c>
      <c r="E128" s="4"/>
      <c r="F128" s="1">
        <v>45887</v>
      </c>
      <c r="G128">
        <v>827.65</v>
      </c>
      <c r="H128">
        <f t="shared" si="13"/>
        <v>0</v>
      </c>
      <c r="I128">
        <f t="shared" si="19"/>
        <v>30.57096178434437</v>
      </c>
      <c r="K128" s="1">
        <v>45898</v>
      </c>
      <c r="L128" s="2">
        <v>1594.5</v>
      </c>
      <c r="M128" s="2">
        <f t="shared" si="14"/>
        <v>5.5495995459418261E-3</v>
      </c>
      <c r="N128" s="2">
        <f t="shared" si="20"/>
        <v>13.549620637329291</v>
      </c>
      <c r="O128" s="2"/>
      <c r="P128" s="1">
        <v>45898</v>
      </c>
      <c r="Q128" s="2">
        <v>14791</v>
      </c>
      <c r="R128">
        <f t="shared" si="15"/>
        <v>2.6437093275488068E-3</v>
      </c>
      <c r="S128">
        <f t="shared" si="21"/>
        <v>25.088525596497739</v>
      </c>
      <c r="U128" s="1">
        <v>45901</v>
      </c>
      <c r="V128" s="2">
        <v>12826</v>
      </c>
      <c r="W128">
        <f t="shared" si="16"/>
        <v>1.4715189873417722E-2</v>
      </c>
      <c r="X128">
        <f t="shared" si="22"/>
        <v>27.008178872760897</v>
      </c>
      <c r="Z128" s="2">
        <f t="shared" si="23"/>
        <v>110.67157471046413</v>
      </c>
      <c r="AA128" s="3">
        <f t="shared" si="17"/>
        <v>2.2490754868420559E-3</v>
      </c>
    </row>
    <row r="129" spans="1:27" x14ac:dyDescent="0.3">
      <c r="A129" s="1">
        <v>45898</v>
      </c>
      <c r="B129" s="2">
        <v>1469.6</v>
      </c>
      <c r="C129" s="4">
        <f t="shared" si="12"/>
        <v>-2.0331977868142125E-2</v>
      </c>
      <c r="D129" s="4">
        <f t="shared" si="18"/>
        <v>14.160403559485356</v>
      </c>
      <c r="E129" s="4"/>
      <c r="F129" s="1">
        <v>45888</v>
      </c>
      <c r="G129">
        <v>830.4</v>
      </c>
      <c r="H129">
        <f t="shared" si="13"/>
        <v>3.3226605449163294E-3</v>
      </c>
      <c r="I129">
        <f t="shared" si="19"/>
        <v>30.672538712885355</v>
      </c>
      <c r="K129" s="1">
        <v>45901</v>
      </c>
      <c r="L129" s="2">
        <v>1563.3</v>
      </c>
      <c r="M129" s="2">
        <f t="shared" si="14"/>
        <v>-1.9567262464722512E-2</v>
      </c>
      <c r="N129" s="2">
        <f t="shared" si="20"/>
        <v>13.284491654021247</v>
      </c>
      <c r="O129" s="2"/>
      <c r="P129" s="1">
        <v>45901</v>
      </c>
      <c r="Q129" s="2">
        <v>14887</v>
      </c>
      <c r="R129">
        <f t="shared" si="15"/>
        <v>6.4904333716449191E-3</v>
      </c>
      <c r="S129">
        <f t="shared" si="21"/>
        <v>25.251361000274613</v>
      </c>
      <c r="U129" s="1">
        <v>45902</v>
      </c>
      <c r="V129" s="2">
        <v>12730</v>
      </c>
      <c r="W129">
        <f t="shared" si="16"/>
        <v>-7.4847965070949634E-3</v>
      </c>
      <c r="X129">
        <f t="shared" si="22"/>
        <v>26.806028149871061</v>
      </c>
      <c r="Z129" s="2">
        <f t="shared" si="23"/>
        <v>110.17482307653762</v>
      </c>
      <c r="AA129" s="3">
        <f t="shared" si="17"/>
        <v>-4.4885205187158439E-3</v>
      </c>
    </row>
    <row r="130" spans="1:27" x14ac:dyDescent="0.3">
      <c r="A130" s="1">
        <v>45901</v>
      </c>
      <c r="B130" s="2">
        <v>1499.4</v>
      </c>
      <c r="C130" s="4">
        <f t="shared" si="12"/>
        <v>2.0277626565051839E-2</v>
      </c>
      <c r="D130" s="4">
        <f t="shared" si="18"/>
        <v>14.447542934875033</v>
      </c>
      <c r="E130" s="4"/>
      <c r="F130" s="1">
        <v>45889</v>
      </c>
      <c r="G130">
        <v>828.95</v>
      </c>
      <c r="H130">
        <f t="shared" si="13"/>
        <v>-1.7461464354527117E-3</v>
      </c>
      <c r="I130">
        <f t="shared" si="19"/>
        <v>30.618979968745567</v>
      </c>
      <c r="K130" s="1">
        <v>45902</v>
      </c>
      <c r="L130" s="2">
        <v>1565.2</v>
      </c>
      <c r="M130" s="2">
        <f t="shared" si="14"/>
        <v>1.215377726604037E-3</v>
      </c>
      <c r="N130" s="2">
        <f t="shared" si="20"/>
        <v>13.300637329286801</v>
      </c>
      <c r="O130" s="2"/>
      <c r="P130" s="1">
        <v>45902</v>
      </c>
      <c r="Q130" s="2">
        <v>14842</v>
      </c>
      <c r="R130">
        <f t="shared" si="15"/>
        <v>-3.0227715456438505E-3</v>
      </c>
      <c r="S130">
        <f t="shared" si="21"/>
        <v>25.175031904754203</v>
      </c>
      <c r="U130" s="1">
        <v>45903</v>
      </c>
      <c r="V130" s="2">
        <v>12733</v>
      </c>
      <c r="W130">
        <f t="shared" si="16"/>
        <v>2.356637863315004E-4</v>
      </c>
      <c r="X130">
        <f t="shared" si="22"/>
        <v>26.812345359961366</v>
      </c>
      <c r="Z130" s="2">
        <f t="shared" si="23"/>
        <v>110.35453749762297</v>
      </c>
      <c r="AA130" s="3">
        <f t="shared" si="17"/>
        <v>1.6311750367914435E-3</v>
      </c>
    </row>
    <row r="131" spans="1:27" x14ac:dyDescent="0.3">
      <c r="A131" s="1">
        <v>45902</v>
      </c>
      <c r="B131" s="2">
        <v>1498.7</v>
      </c>
      <c r="C131" s="4">
        <f t="shared" si="12"/>
        <v>-4.6685340802990894E-4</v>
      </c>
      <c r="D131" s="4">
        <f t="shared" si="18"/>
        <v>14.440798050218229</v>
      </c>
      <c r="E131" s="4"/>
      <c r="F131" s="1">
        <v>45890</v>
      </c>
      <c r="G131">
        <v>825.7</v>
      </c>
      <c r="H131">
        <f t="shared" si="13"/>
        <v>-3.9206224742143678E-3</v>
      </c>
      <c r="I131">
        <f t="shared" si="19"/>
        <v>30.498934507742586</v>
      </c>
      <c r="K131" s="1">
        <v>45903</v>
      </c>
      <c r="L131" s="2">
        <v>1578.7</v>
      </c>
      <c r="M131" s="2">
        <f t="shared" si="14"/>
        <v>8.6250958343981592E-3</v>
      </c>
      <c r="N131" s="2">
        <f t="shared" si="20"/>
        <v>13.415356600910473</v>
      </c>
      <c r="O131" s="2"/>
      <c r="P131" s="1">
        <v>45903</v>
      </c>
      <c r="Q131" s="2">
        <v>14927</v>
      </c>
      <c r="R131">
        <f t="shared" si="15"/>
        <v>5.7269909715671743E-3</v>
      </c>
      <c r="S131">
        <f t="shared" si="21"/>
        <v>25.319209085181644</v>
      </c>
      <c r="U131" s="1">
        <v>45904</v>
      </c>
      <c r="V131" s="2">
        <v>12651</v>
      </c>
      <c r="W131">
        <f t="shared" si="16"/>
        <v>-6.4399591612345876E-3</v>
      </c>
      <c r="X131">
        <f t="shared" si="22"/>
        <v>26.639674950826297</v>
      </c>
      <c r="Z131" s="2">
        <f t="shared" si="23"/>
        <v>110.31397319487922</v>
      </c>
      <c r="AA131" s="3">
        <f t="shared" si="17"/>
        <v>-3.675816478739824E-4</v>
      </c>
    </row>
    <row r="132" spans="1:27" x14ac:dyDescent="0.3">
      <c r="A132" s="1">
        <v>45903</v>
      </c>
      <c r="B132" s="2">
        <v>1479.1</v>
      </c>
      <c r="C132" s="4">
        <f t="shared" si="12"/>
        <v>-1.3078000934143014E-2</v>
      </c>
      <c r="D132" s="4">
        <f t="shared" si="18"/>
        <v>14.251941279827705</v>
      </c>
      <c r="E132" s="4"/>
      <c r="F132" s="1">
        <v>45891</v>
      </c>
      <c r="G132">
        <v>816.25</v>
      </c>
      <c r="H132">
        <f t="shared" si="13"/>
        <v>-1.144483468572126E-2</v>
      </c>
      <c r="I132">
        <f t="shared" si="19"/>
        <v>30.149879244210833</v>
      </c>
      <c r="K132" s="1">
        <v>45904</v>
      </c>
      <c r="L132" s="2">
        <v>1582.3</v>
      </c>
      <c r="M132" s="2">
        <f t="shared" si="14"/>
        <v>2.2803572559700444E-3</v>
      </c>
      <c r="N132" s="2">
        <f t="shared" si="20"/>
        <v>13.445948406676784</v>
      </c>
      <c r="O132" s="2"/>
      <c r="P132" s="1">
        <v>45904</v>
      </c>
      <c r="Q132" s="2">
        <v>14662</v>
      </c>
      <c r="R132">
        <f t="shared" si="15"/>
        <v>-1.7753064915924165E-2</v>
      </c>
      <c r="S132">
        <f t="shared" si="21"/>
        <v>24.869715522672557</v>
      </c>
      <c r="U132" s="1">
        <v>45905</v>
      </c>
      <c r="V132" s="2">
        <v>12601</v>
      </c>
      <c r="W132">
        <f t="shared" si="16"/>
        <v>-3.9522567385977397E-3</v>
      </c>
      <c r="X132">
        <f t="shared" si="22"/>
        <v>26.534388115987838</v>
      </c>
      <c r="Z132" s="2">
        <f t="shared" si="23"/>
        <v>109.25187256937572</v>
      </c>
      <c r="AA132" s="3">
        <f t="shared" si="17"/>
        <v>-9.6279790741216065E-3</v>
      </c>
    </row>
    <row r="133" spans="1:27" x14ac:dyDescent="0.3">
      <c r="A133" s="1">
        <v>45904</v>
      </c>
      <c r="B133" s="2">
        <v>1463</v>
      </c>
      <c r="C133" s="4">
        <f t="shared" si="12"/>
        <v>-1.0884997633696106E-2</v>
      </c>
      <c r="D133" s="4">
        <f t="shared" si="18"/>
        <v>14.096808932721204</v>
      </c>
      <c r="E133" s="4"/>
      <c r="F133" s="1">
        <v>45891</v>
      </c>
      <c r="G133">
        <v>816.25</v>
      </c>
      <c r="H133">
        <f t="shared" si="13"/>
        <v>0</v>
      </c>
      <c r="I133">
        <f t="shared" si="19"/>
        <v>30.149879244210833</v>
      </c>
      <c r="K133" s="1">
        <v>45905</v>
      </c>
      <c r="L133" s="2">
        <v>1593.6</v>
      </c>
      <c r="M133" s="2">
        <f t="shared" si="14"/>
        <v>7.1415028755608635E-3</v>
      </c>
      <c r="N133" s="2">
        <f t="shared" si="20"/>
        <v>13.541972685887709</v>
      </c>
      <c r="O133" s="2"/>
      <c r="P133" s="1">
        <v>45905</v>
      </c>
      <c r="Q133" s="2">
        <v>14895</v>
      </c>
      <c r="R133">
        <f t="shared" si="15"/>
        <v>1.5891419997271859E-2</v>
      </c>
      <c r="S133">
        <f t="shared" si="21"/>
        <v>25.26493061725602</v>
      </c>
      <c r="U133" s="1">
        <v>45908</v>
      </c>
      <c r="V133" s="2">
        <v>12664</v>
      </c>
      <c r="W133">
        <f t="shared" si="16"/>
        <v>4.9996032060947541E-3</v>
      </c>
      <c r="X133">
        <f t="shared" si="22"/>
        <v>26.667049527884295</v>
      </c>
      <c r="Z133" s="2">
        <f t="shared" si="23"/>
        <v>109.72064100796007</v>
      </c>
      <c r="AA133" s="3">
        <f t="shared" si="17"/>
        <v>4.2907130794180848E-3</v>
      </c>
    </row>
    <row r="134" spans="1:27" x14ac:dyDescent="0.3">
      <c r="A134" s="1">
        <v>45905</v>
      </c>
      <c r="B134" s="2">
        <v>1444.6</v>
      </c>
      <c r="C134" s="4">
        <f t="shared" ref="C134:C197" si="24">(B134-B133)/B133</f>
        <v>-1.2576896787423165E-2</v>
      </c>
      <c r="D134" s="4">
        <f t="shared" si="18"/>
        <v>13.919514821742345</v>
      </c>
      <c r="E134" s="4"/>
      <c r="F134" s="1">
        <v>45894</v>
      </c>
      <c r="G134">
        <v>816.45</v>
      </c>
      <c r="H134">
        <f t="shared" ref="H134:H197" si="25">(G134-G133)/G133</f>
        <v>2.4502297090357793E-4</v>
      </c>
      <c r="I134">
        <f t="shared" si="19"/>
        <v>30.157266657195638</v>
      </c>
      <c r="K134" s="1">
        <v>45908</v>
      </c>
      <c r="L134" s="2">
        <v>1581</v>
      </c>
      <c r="M134" s="2">
        <f t="shared" ref="M134:M197" si="26">(L134-L133)/L133</f>
        <v>-7.9066265060240403E-3</v>
      </c>
      <c r="N134" s="2">
        <f t="shared" si="20"/>
        <v>13.434901365705615</v>
      </c>
      <c r="O134" s="2"/>
      <c r="P134" s="1">
        <v>45908</v>
      </c>
      <c r="Q134" s="2">
        <v>15258</v>
      </c>
      <c r="R134">
        <f t="shared" ref="R134:R197" si="27">(Q134-Q133)/Q133</f>
        <v>2.4370594159113797E-2</v>
      </c>
      <c r="S134">
        <f t="shared" si="21"/>
        <v>25.880651987787331</v>
      </c>
      <c r="U134" s="1">
        <v>45909</v>
      </c>
      <c r="V134" s="2">
        <v>12572</v>
      </c>
      <c r="W134">
        <f t="shared" ref="W134:W197" si="28">(V134-V133)/V133</f>
        <v>-7.2646873025900187E-3</v>
      </c>
      <c r="X134">
        <f t="shared" si="22"/>
        <v>26.473321751781537</v>
      </c>
      <c r="Z134" s="2">
        <f t="shared" si="23"/>
        <v>109.86565658421246</v>
      </c>
      <c r="AA134" s="3">
        <f t="shared" ref="AA134:AA197" si="29">Z134/Z133-1</f>
        <v>1.3216799949415936E-3</v>
      </c>
    </row>
    <row r="135" spans="1:27" x14ac:dyDescent="0.3">
      <c r="A135" s="1">
        <v>45908</v>
      </c>
      <c r="B135" s="2">
        <v>1432.9</v>
      </c>
      <c r="C135" s="4">
        <f t="shared" si="24"/>
        <v>-8.0991277862382804E-3</v>
      </c>
      <c r="D135" s="4">
        <f t="shared" ref="D135:D198" si="30">D134*(1+C135)</f>
        <v>13.806778892478615</v>
      </c>
      <c r="E135" s="4"/>
      <c r="F135" s="1">
        <v>45895</v>
      </c>
      <c r="G135">
        <v>807.85</v>
      </c>
      <c r="H135">
        <f t="shared" si="25"/>
        <v>-1.0533406822218167E-2</v>
      </c>
      <c r="I135">
        <f t="shared" ref="I135:I198" si="31">I134*(1+H135)</f>
        <v>29.83960789884928</v>
      </c>
      <c r="K135" s="1">
        <v>45909</v>
      </c>
      <c r="L135" s="2">
        <v>1591.7</v>
      </c>
      <c r="M135" s="2">
        <f t="shared" si="26"/>
        <v>6.7678684376976887E-3</v>
      </c>
      <c r="N135" s="2">
        <f t="shared" ref="N135:N198" si="32">N134*(1+M135)</f>
        <v>13.525827010622157</v>
      </c>
      <c r="O135" s="2"/>
      <c r="P135" s="1">
        <v>45909</v>
      </c>
      <c r="Q135" s="2">
        <v>15365</v>
      </c>
      <c r="R135">
        <f t="shared" si="27"/>
        <v>7.0127146414995416E-3</v>
      </c>
      <c r="S135">
        <f t="shared" ref="S135:S198" si="33">S134*(1+R135)</f>
        <v>26.062145614913643</v>
      </c>
      <c r="U135" s="1">
        <v>45910</v>
      </c>
      <c r="V135" s="2">
        <v>12478</v>
      </c>
      <c r="W135">
        <f t="shared" si="28"/>
        <v>-7.4769328666878781E-3</v>
      </c>
      <c r="X135">
        <f t="shared" ref="X135:X198" si="34">X134*(1+W135)</f>
        <v>26.27538250228524</v>
      </c>
      <c r="Z135" s="2">
        <f t="shared" ref="Z135:Z198" si="35">D135+I135+N135+S135+X135</f>
        <v>109.50974191914894</v>
      </c>
      <c r="AA135" s="3">
        <f t="shared" si="29"/>
        <v>-3.239544331951616E-3</v>
      </c>
    </row>
    <row r="136" spans="1:27" x14ac:dyDescent="0.3">
      <c r="A136" s="1">
        <v>45909</v>
      </c>
      <c r="B136" s="2">
        <v>1504.3</v>
      </c>
      <c r="C136" s="4">
        <f t="shared" si="24"/>
        <v>4.9829018075231948E-2</v>
      </c>
      <c r="D136" s="4">
        <f t="shared" si="30"/>
        <v>14.494757127472662</v>
      </c>
      <c r="E136" s="4"/>
      <c r="F136" s="1">
        <v>45897</v>
      </c>
      <c r="G136">
        <v>801.95</v>
      </c>
      <c r="H136">
        <f t="shared" si="25"/>
        <v>-7.303336015349356E-3</v>
      </c>
      <c r="I136">
        <f t="shared" si="31"/>
        <v>29.621679215797709</v>
      </c>
      <c r="K136" s="1">
        <v>45910</v>
      </c>
      <c r="L136" s="2">
        <v>1593.4</v>
      </c>
      <c r="M136" s="2">
        <f t="shared" si="26"/>
        <v>1.0680404598856854E-3</v>
      </c>
      <c r="N136" s="2">
        <f t="shared" si="32"/>
        <v>13.540273141122917</v>
      </c>
      <c r="O136" s="2"/>
      <c r="P136" s="1">
        <v>45910</v>
      </c>
      <c r="Q136" s="2">
        <v>15108</v>
      </c>
      <c r="R136">
        <f t="shared" si="27"/>
        <v>-1.672632606573381E-2</v>
      </c>
      <c r="S136">
        <f t="shared" si="33"/>
        <v>25.626221669385963</v>
      </c>
      <c r="U136" s="1">
        <v>45911</v>
      </c>
      <c r="V136" s="2">
        <v>12392</v>
      </c>
      <c r="W136">
        <f t="shared" si="28"/>
        <v>-6.8921301490623499E-3</v>
      </c>
      <c r="X136">
        <f t="shared" si="34"/>
        <v>26.094289146363096</v>
      </c>
      <c r="Z136" s="2">
        <f t="shared" si="35"/>
        <v>109.37722030014235</v>
      </c>
      <c r="AA136" s="3">
        <f t="shared" si="29"/>
        <v>-1.2101354334705938E-3</v>
      </c>
    </row>
    <row r="137" spans="1:27" x14ac:dyDescent="0.3">
      <c r="A137" s="1">
        <v>45909</v>
      </c>
      <c r="B137" s="2">
        <v>1432.9</v>
      </c>
      <c r="C137" s="4">
        <f t="shared" si="24"/>
        <v>-4.7463936714750958E-2</v>
      </c>
      <c r="D137" s="4">
        <f t="shared" si="30"/>
        <v>13.806778892478615</v>
      </c>
      <c r="E137" s="4"/>
      <c r="F137" s="1">
        <v>45897</v>
      </c>
      <c r="G137">
        <v>801.95</v>
      </c>
      <c r="H137">
        <f t="shared" si="25"/>
        <v>0</v>
      </c>
      <c r="I137">
        <f t="shared" si="31"/>
        <v>29.621679215797709</v>
      </c>
      <c r="K137" s="1">
        <v>45911</v>
      </c>
      <c r="L137" s="2">
        <v>1609.7</v>
      </c>
      <c r="M137" s="2">
        <f t="shared" si="26"/>
        <v>1.0229697502196532E-2</v>
      </c>
      <c r="N137" s="2">
        <f t="shared" si="32"/>
        <v>13.678786039453721</v>
      </c>
      <c r="O137" s="2"/>
      <c r="P137" s="1">
        <v>45911</v>
      </c>
      <c r="Q137" s="2">
        <v>15095</v>
      </c>
      <c r="R137">
        <f t="shared" si="27"/>
        <v>-8.6047127349748477E-4</v>
      </c>
      <c r="S137">
        <f t="shared" si="33"/>
        <v>25.604171041791176</v>
      </c>
      <c r="U137" s="1">
        <v>45912</v>
      </c>
      <c r="V137" s="2">
        <v>12370</v>
      </c>
      <c r="W137">
        <f t="shared" si="28"/>
        <v>-1.7753389283408651E-3</v>
      </c>
      <c r="X137">
        <f t="shared" si="34"/>
        <v>26.047962939034175</v>
      </c>
      <c r="Z137" s="2">
        <f t="shared" si="35"/>
        <v>108.7593781285554</v>
      </c>
      <c r="AA137" s="3">
        <f t="shared" si="29"/>
        <v>-5.6487280431111175E-3</v>
      </c>
    </row>
    <row r="138" spans="1:27" x14ac:dyDescent="0.3">
      <c r="A138" s="1">
        <v>45910</v>
      </c>
      <c r="B138" s="2">
        <v>1532.6</v>
      </c>
      <c r="C138" s="4">
        <f t="shared" si="24"/>
        <v>6.957917509944854E-2</v>
      </c>
      <c r="D138" s="4">
        <f t="shared" si="30"/>
        <v>14.767443178597755</v>
      </c>
      <c r="E138" s="4"/>
      <c r="F138" s="1">
        <v>45898</v>
      </c>
      <c r="G138">
        <v>802.5</v>
      </c>
      <c r="H138">
        <f t="shared" si="25"/>
        <v>6.8582829353445291E-4</v>
      </c>
      <c r="I138">
        <f t="shared" si="31"/>
        <v>29.641994601505907</v>
      </c>
      <c r="K138" s="1">
        <v>45912</v>
      </c>
      <c r="L138" s="2">
        <v>1616.6</v>
      </c>
      <c r="M138" s="2">
        <f t="shared" si="26"/>
        <v>4.2865130148474024E-3</v>
      </c>
      <c r="N138" s="2">
        <f t="shared" si="32"/>
        <v>13.737420333839154</v>
      </c>
      <c r="O138" s="2"/>
      <c r="P138" s="1">
        <v>45912</v>
      </c>
      <c r="Q138" s="2">
        <v>15325</v>
      </c>
      <c r="R138">
        <f t="shared" si="27"/>
        <v>1.5236833388539251E-2</v>
      </c>
      <c r="S138">
        <f t="shared" si="33"/>
        <v>25.994297530006612</v>
      </c>
      <c r="U138" s="1">
        <v>45915</v>
      </c>
      <c r="V138" s="2">
        <v>12435</v>
      </c>
      <c r="W138">
        <f t="shared" si="28"/>
        <v>5.2546483427647539E-3</v>
      </c>
      <c r="X138">
        <f t="shared" si="34"/>
        <v>26.184835824324168</v>
      </c>
      <c r="Z138" s="2">
        <f t="shared" si="35"/>
        <v>110.32599146827359</v>
      </c>
      <c r="AA138" s="3">
        <f t="shared" si="29"/>
        <v>1.4404397732638907E-2</v>
      </c>
    </row>
    <row r="139" spans="1:27" x14ac:dyDescent="0.3">
      <c r="A139" s="1">
        <v>45911</v>
      </c>
      <c r="B139" s="2">
        <v>1509.7</v>
      </c>
      <c r="C139" s="4">
        <f t="shared" si="24"/>
        <v>-1.4941928748531818E-2</v>
      </c>
      <c r="D139" s="4">
        <f t="shared" si="30"/>
        <v>14.546789094825154</v>
      </c>
      <c r="E139" s="4"/>
      <c r="F139" s="1">
        <v>45901</v>
      </c>
      <c r="G139">
        <v>806.05</v>
      </c>
      <c r="H139">
        <f t="shared" si="25"/>
        <v>4.4236760124610024E-3</v>
      </c>
      <c r="I139">
        <f t="shared" si="31"/>
        <v>29.773121181986085</v>
      </c>
      <c r="K139" s="1">
        <v>45915</v>
      </c>
      <c r="L139" s="2">
        <v>1602</v>
      </c>
      <c r="M139" s="2">
        <f t="shared" si="26"/>
        <v>-9.0313002598044721E-3</v>
      </c>
      <c r="N139" s="2">
        <f t="shared" si="32"/>
        <v>13.61335356600911</v>
      </c>
      <c r="O139" s="2"/>
      <c r="P139" s="1">
        <v>45915</v>
      </c>
      <c r="Q139" s="2">
        <v>15265</v>
      </c>
      <c r="R139">
        <f t="shared" si="27"/>
        <v>-3.9151712887438824E-3</v>
      </c>
      <c r="S139">
        <f t="shared" si="33"/>
        <v>25.892525402646065</v>
      </c>
      <c r="U139" s="1">
        <v>45916</v>
      </c>
      <c r="V139" s="2">
        <v>12578</v>
      </c>
      <c r="W139">
        <f t="shared" si="28"/>
        <v>1.1499798954563732E-2</v>
      </c>
      <c r="X139">
        <f t="shared" si="34"/>
        <v>26.485956171962155</v>
      </c>
      <c r="Z139" s="2">
        <f t="shared" si="35"/>
        <v>110.31174541742857</v>
      </c>
      <c r="AA139" s="3">
        <f t="shared" si="29"/>
        <v>-1.2912687804045309E-4</v>
      </c>
    </row>
    <row r="140" spans="1:27" x14ac:dyDescent="0.3">
      <c r="A140" s="1">
        <v>45912</v>
      </c>
      <c r="B140" s="2">
        <v>1525.6</v>
      </c>
      <c r="C140" s="4">
        <f t="shared" si="24"/>
        <v>1.0531893753725815E-2</v>
      </c>
      <c r="D140" s="4">
        <f t="shared" si="30"/>
        <v>14.699994332029709</v>
      </c>
      <c r="E140" s="4"/>
      <c r="F140" s="1">
        <v>45902</v>
      </c>
      <c r="G140">
        <v>803.9</v>
      </c>
      <c r="H140">
        <f t="shared" si="25"/>
        <v>-2.6673283295080672E-3</v>
      </c>
      <c r="I140">
        <f t="shared" si="31"/>
        <v>29.693706492399496</v>
      </c>
      <c r="K140" s="1">
        <v>45916</v>
      </c>
      <c r="L140" s="2">
        <v>1610.5</v>
      </c>
      <c r="M140" s="2">
        <f t="shared" si="26"/>
        <v>5.3058676654182272E-3</v>
      </c>
      <c r="N140" s="2">
        <f t="shared" si="32"/>
        <v>13.685584218512904</v>
      </c>
      <c r="O140" s="2"/>
      <c r="P140" s="1">
        <v>45916</v>
      </c>
      <c r="Q140" s="2">
        <v>15573</v>
      </c>
      <c r="R140">
        <f t="shared" si="27"/>
        <v>2.0176875204716671E-2</v>
      </c>
      <c r="S140">
        <f t="shared" si="33"/>
        <v>26.414955656430212</v>
      </c>
      <c r="U140" s="1">
        <v>45917</v>
      </c>
      <c r="V140" s="2">
        <v>12721</v>
      </c>
      <c r="W140">
        <f t="shared" si="28"/>
        <v>1.1369057083797107E-2</v>
      </c>
      <c r="X140">
        <f t="shared" si="34"/>
        <v>26.787076519600145</v>
      </c>
      <c r="Z140" s="2">
        <f t="shared" si="35"/>
        <v>111.28131721897246</v>
      </c>
      <c r="AA140" s="3">
        <f t="shared" si="29"/>
        <v>8.7893795703708477E-3</v>
      </c>
    </row>
    <row r="141" spans="1:27" x14ac:dyDescent="0.3">
      <c r="A141" s="1">
        <v>45915</v>
      </c>
      <c r="B141" s="2">
        <v>1525.6</v>
      </c>
      <c r="C141" s="4">
        <f t="shared" si="24"/>
        <v>0</v>
      </c>
      <c r="D141" s="4">
        <f t="shared" si="30"/>
        <v>14.699994332029709</v>
      </c>
      <c r="E141" s="4"/>
      <c r="F141" s="1">
        <v>45903</v>
      </c>
      <c r="G141">
        <v>812.15</v>
      </c>
      <c r="H141">
        <f t="shared" si="25"/>
        <v>1.0262470456524444E-2</v>
      </c>
      <c r="I141">
        <f t="shared" si="31"/>
        <v>29.998437278022454</v>
      </c>
      <c r="K141" s="1">
        <v>45917</v>
      </c>
      <c r="L141" s="2">
        <v>1620.2</v>
      </c>
      <c r="M141" s="2">
        <f t="shared" si="26"/>
        <v>6.02297423160512E-3</v>
      </c>
      <c r="N141" s="2">
        <f t="shared" si="32"/>
        <v>13.768012139605469</v>
      </c>
      <c r="O141" s="2"/>
      <c r="P141" s="1">
        <v>45917</v>
      </c>
      <c r="Q141" s="2">
        <v>15801</v>
      </c>
      <c r="R141">
        <f t="shared" si="27"/>
        <v>1.4640724330572143E-2</v>
      </c>
      <c r="S141">
        <f t="shared" si="33"/>
        <v>26.801689740400295</v>
      </c>
      <c r="U141" s="1">
        <v>45918</v>
      </c>
      <c r="V141" s="2">
        <v>12626</v>
      </c>
      <c r="W141">
        <f t="shared" si="28"/>
        <v>-7.4679663548463168E-3</v>
      </c>
      <c r="X141">
        <f t="shared" si="34"/>
        <v>26.587031533407075</v>
      </c>
      <c r="Z141" s="2">
        <f t="shared" si="35"/>
        <v>111.85516502346499</v>
      </c>
      <c r="AA141" s="3">
        <f t="shared" si="29"/>
        <v>5.1567308766065079E-3</v>
      </c>
    </row>
    <row r="142" spans="1:27" x14ac:dyDescent="0.3">
      <c r="A142" s="1">
        <v>45915</v>
      </c>
      <c r="B142" s="2">
        <v>1508.4</v>
      </c>
      <c r="C142" s="4">
        <f t="shared" si="24"/>
        <v>-1.1274252753015088E-2</v>
      </c>
      <c r="D142" s="4">
        <f t="shared" si="30"/>
        <v>14.534262880462517</v>
      </c>
      <c r="E142" s="4"/>
      <c r="F142" s="1">
        <v>45904</v>
      </c>
      <c r="G142">
        <v>809.4</v>
      </c>
      <c r="H142">
        <f t="shared" si="25"/>
        <v>-3.3860740011081697E-3</v>
      </c>
      <c r="I142">
        <f t="shared" si="31"/>
        <v>29.896860349481468</v>
      </c>
      <c r="K142" s="1">
        <v>45918</v>
      </c>
      <c r="L142" s="2">
        <v>1648.6</v>
      </c>
      <c r="M142" s="2">
        <f t="shared" si="26"/>
        <v>1.7528700160473931E-2</v>
      </c>
      <c r="N142" s="2">
        <f t="shared" si="32"/>
        <v>14.009347496206379</v>
      </c>
      <c r="O142" s="2"/>
      <c r="P142" s="1">
        <v>45918</v>
      </c>
      <c r="Q142" s="2">
        <v>15817</v>
      </c>
      <c r="R142">
        <f t="shared" si="27"/>
        <v>1.012594139611417E-3</v>
      </c>
      <c r="S142">
        <f t="shared" si="33"/>
        <v>26.828828974363113</v>
      </c>
      <c r="U142" s="1">
        <v>45919</v>
      </c>
      <c r="V142" s="2">
        <v>12508</v>
      </c>
      <c r="W142">
        <f t="shared" si="28"/>
        <v>-9.3457943925233638E-3</v>
      </c>
      <c r="X142">
        <f t="shared" si="34"/>
        <v>26.338554603188317</v>
      </c>
      <c r="Z142" s="2">
        <f t="shared" si="35"/>
        <v>111.60785430370179</v>
      </c>
      <c r="AA142" s="3">
        <f t="shared" si="29"/>
        <v>-2.2109906119339717E-3</v>
      </c>
    </row>
    <row r="143" spans="1:27" x14ac:dyDescent="0.3">
      <c r="A143" s="1">
        <v>45916</v>
      </c>
      <c r="B143" s="2">
        <v>1505</v>
      </c>
      <c r="C143" s="4">
        <f t="shared" si="24"/>
        <v>-2.2540440201538653E-3</v>
      </c>
      <c r="D143" s="4">
        <f t="shared" si="30"/>
        <v>14.501502012129468</v>
      </c>
      <c r="E143" s="4"/>
      <c r="F143" s="1">
        <v>45905</v>
      </c>
      <c r="G143">
        <v>806.6</v>
      </c>
      <c r="H143">
        <f t="shared" si="25"/>
        <v>-3.45935260686923E-3</v>
      </c>
      <c r="I143">
        <f t="shared" si="31"/>
        <v>29.793436567694283</v>
      </c>
      <c r="K143" s="1">
        <v>45919</v>
      </c>
      <c r="L143" s="2">
        <v>1656</v>
      </c>
      <c r="M143" s="2">
        <f t="shared" si="26"/>
        <v>4.48865704233901E-3</v>
      </c>
      <c r="N143" s="2">
        <f t="shared" si="32"/>
        <v>14.0722306525038</v>
      </c>
      <c r="O143" s="2"/>
      <c r="P143" s="1">
        <v>45919</v>
      </c>
      <c r="Q143" s="2">
        <v>15864</v>
      </c>
      <c r="R143">
        <f t="shared" si="27"/>
        <v>2.9714863754188533E-3</v>
      </c>
      <c r="S143">
        <f t="shared" si="33"/>
        <v>26.908550474128877</v>
      </c>
      <c r="U143" s="1">
        <v>45922</v>
      </c>
      <c r="V143" s="2">
        <v>12650</v>
      </c>
      <c r="W143">
        <f t="shared" si="28"/>
        <v>1.135273425007995E-2</v>
      </c>
      <c r="X143">
        <f t="shared" si="34"/>
        <v>26.637569214129531</v>
      </c>
      <c r="Z143" s="2">
        <f t="shared" si="35"/>
        <v>111.91328892058596</v>
      </c>
      <c r="AA143" s="3">
        <f t="shared" si="29"/>
        <v>2.7366767221690402E-3</v>
      </c>
    </row>
    <row r="144" spans="1:27" x14ac:dyDescent="0.3">
      <c r="A144" s="1">
        <v>45916</v>
      </c>
      <c r="B144" s="2">
        <v>1511.3</v>
      </c>
      <c r="C144" s="4">
        <f t="shared" si="24"/>
        <v>4.1860465116278769E-3</v>
      </c>
      <c r="D144" s="4">
        <f t="shared" si="30"/>
        <v>14.562205974040706</v>
      </c>
      <c r="E144" s="4"/>
      <c r="F144" s="1">
        <v>45908</v>
      </c>
      <c r="G144">
        <v>808.8</v>
      </c>
      <c r="H144">
        <f t="shared" si="25"/>
        <v>2.7274981403420922E-3</v>
      </c>
      <c r="I144">
        <f t="shared" si="31"/>
        <v>29.874698110527067</v>
      </c>
      <c r="K144" s="1">
        <v>45922</v>
      </c>
      <c r="L144" s="2">
        <v>1644</v>
      </c>
      <c r="M144" s="2">
        <f t="shared" si="26"/>
        <v>-7.246376811594203E-3</v>
      </c>
      <c r="N144" s="2">
        <f t="shared" si="32"/>
        <v>13.97025796661609</v>
      </c>
      <c r="O144" s="2"/>
      <c r="P144" s="1">
        <v>45922</v>
      </c>
      <c r="Q144" s="2">
        <v>15816</v>
      </c>
      <c r="R144">
        <f t="shared" si="27"/>
        <v>-3.0257186081694403E-3</v>
      </c>
      <c r="S144">
        <f t="shared" si="33"/>
        <v>26.827132772240436</v>
      </c>
      <c r="U144" s="1">
        <v>45923</v>
      </c>
      <c r="V144" s="2">
        <v>12401</v>
      </c>
      <c r="W144">
        <f t="shared" si="28"/>
        <v>-1.9683794466403164E-2</v>
      </c>
      <c r="X144">
        <f t="shared" si="34"/>
        <v>26.113240776634019</v>
      </c>
      <c r="Z144" s="2">
        <f t="shared" si="35"/>
        <v>111.34753560005831</v>
      </c>
      <c r="AA144" s="3">
        <f t="shared" si="29"/>
        <v>-5.055282763864688E-3</v>
      </c>
    </row>
    <row r="145" spans="1:27" x14ac:dyDescent="0.3">
      <c r="A145" s="1">
        <v>45917</v>
      </c>
      <c r="B145" s="2">
        <v>1522.4</v>
      </c>
      <c r="C145" s="4">
        <f t="shared" si="24"/>
        <v>7.3446701515252674E-3</v>
      </c>
      <c r="D145" s="4">
        <f t="shared" si="30"/>
        <v>14.669160573598605</v>
      </c>
      <c r="E145" s="4"/>
      <c r="F145" s="1">
        <v>45909</v>
      </c>
      <c r="G145">
        <v>808.85</v>
      </c>
      <c r="H145">
        <f t="shared" si="25"/>
        <v>6.1819980217690665E-5</v>
      </c>
      <c r="I145">
        <f t="shared" si="31"/>
        <v>29.876544963773267</v>
      </c>
      <c r="K145" s="1">
        <v>45923</v>
      </c>
      <c r="L145" s="2">
        <v>1631.2</v>
      </c>
      <c r="M145" s="2">
        <f t="shared" si="26"/>
        <v>-7.7858880778588534E-3</v>
      </c>
      <c r="N145" s="2">
        <f t="shared" si="32"/>
        <v>13.861487101669201</v>
      </c>
      <c r="O145" s="2"/>
      <c r="P145" s="1">
        <v>45923</v>
      </c>
      <c r="Q145" s="2">
        <v>16097</v>
      </c>
      <c r="R145">
        <f t="shared" si="27"/>
        <v>1.7766818411734952E-2</v>
      </c>
      <c r="S145">
        <f t="shared" si="33"/>
        <v>27.303765568712336</v>
      </c>
      <c r="U145" s="1">
        <v>45924</v>
      </c>
      <c r="V145" s="2">
        <v>12214</v>
      </c>
      <c r="W145">
        <f t="shared" si="28"/>
        <v>-1.5079429078300137E-2</v>
      </c>
      <c r="X145">
        <f t="shared" si="34"/>
        <v>25.71946801433819</v>
      </c>
      <c r="Z145" s="2">
        <f t="shared" si="35"/>
        <v>111.4304262220916</v>
      </c>
      <c r="AA145" s="3">
        <f t="shared" si="29"/>
        <v>7.4443158159342993E-4</v>
      </c>
    </row>
    <row r="146" spans="1:27" x14ac:dyDescent="0.3">
      <c r="A146" s="1">
        <v>45918</v>
      </c>
      <c r="B146" s="2">
        <v>1540.6</v>
      </c>
      <c r="C146" s="4">
        <f t="shared" si="24"/>
        <v>1.1954808197582644E-2</v>
      </c>
      <c r="D146" s="4">
        <f t="shared" si="30"/>
        <v>14.844527574675517</v>
      </c>
      <c r="E146" s="4"/>
      <c r="F146" s="1">
        <v>45910</v>
      </c>
      <c r="G146">
        <v>818.2</v>
      </c>
      <c r="H146">
        <f t="shared" si="25"/>
        <v>1.1559621685108516E-2</v>
      </c>
      <c r="I146">
        <f t="shared" si="31"/>
        <v>30.221906520812624</v>
      </c>
      <c r="K146" s="1">
        <v>45924</v>
      </c>
      <c r="L146" s="2">
        <v>1627.1</v>
      </c>
      <c r="M146" s="2">
        <f t="shared" si="26"/>
        <v>-2.5134870034331388E-3</v>
      </c>
      <c r="N146" s="2">
        <f t="shared" si="32"/>
        <v>13.8266464339909</v>
      </c>
      <c r="O146" s="2"/>
      <c r="P146" s="1">
        <v>45924</v>
      </c>
      <c r="Q146" s="2">
        <v>16249</v>
      </c>
      <c r="R146">
        <f t="shared" si="27"/>
        <v>9.4427533080698265E-3</v>
      </c>
      <c r="S146">
        <f t="shared" si="33"/>
        <v>27.561588291359058</v>
      </c>
      <c r="U146" s="1">
        <v>45925</v>
      </c>
      <c r="V146" s="2">
        <v>12141</v>
      </c>
      <c r="W146">
        <f t="shared" si="28"/>
        <v>-5.9767479941051256E-3</v>
      </c>
      <c r="X146">
        <f t="shared" si="34"/>
        <v>25.565749235474044</v>
      </c>
      <c r="Z146" s="2">
        <f t="shared" si="35"/>
        <v>112.02041805631214</v>
      </c>
      <c r="AA146" s="3">
        <f t="shared" si="29"/>
        <v>5.2947103786953331E-3</v>
      </c>
    </row>
    <row r="147" spans="1:27" x14ac:dyDescent="0.3">
      <c r="A147" s="1">
        <v>45919</v>
      </c>
      <c r="B147" s="2">
        <v>1540.2</v>
      </c>
      <c r="C147" s="4">
        <f t="shared" si="24"/>
        <v>-2.5963910164861974E-4</v>
      </c>
      <c r="D147" s="4">
        <f t="shared" si="30"/>
        <v>14.84067335487163</v>
      </c>
      <c r="E147" s="4"/>
      <c r="F147" s="1">
        <v>45911</v>
      </c>
      <c r="G147">
        <v>823.65</v>
      </c>
      <c r="H147">
        <f t="shared" si="25"/>
        <v>6.6609630897090343E-3</v>
      </c>
      <c r="I147">
        <f t="shared" si="31"/>
        <v>30.423213524648393</v>
      </c>
      <c r="K147" s="1">
        <v>45925</v>
      </c>
      <c r="L147" s="2">
        <v>1627.4</v>
      </c>
      <c r="M147" s="2">
        <f t="shared" si="26"/>
        <v>1.8437711265452763E-4</v>
      </c>
      <c r="N147" s="2">
        <f t="shared" si="32"/>
        <v>13.829195751138096</v>
      </c>
      <c r="O147" s="2"/>
      <c r="P147" s="1">
        <v>45925</v>
      </c>
      <c r="Q147" s="2">
        <v>16269</v>
      </c>
      <c r="R147">
        <f t="shared" si="27"/>
        <v>1.2308449750753892E-3</v>
      </c>
      <c r="S147">
        <f t="shared" si="33"/>
        <v>27.595512333812572</v>
      </c>
      <c r="U147" s="1">
        <v>45926</v>
      </c>
      <c r="V147" s="2">
        <v>12070</v>
      </c>
      <c r="W147">
        <f t="shared" si="28"/>
        <v>-5.8479532163742687E-3</v>
      </c>
      <c r="X147">
        <f t="shared" si="34"/>
        <v>25.416241930003437</v>
      </c>
      <c r="Z147" s="2">
        <f t="shared" si="35"/>
        <v>112.10483689447413</v>
      </c>
      <c r="AA147" s="3">
        <f t="shared" si="29"/>
        <v>7.5360224168741219E-4</v>
      </c>
    </row>
    <row r="148" spans="1:27" x14ac:dyDescent="0.3">
      <c r="A148" s="1">
        <v>45922</v>
      </c>
      <c r="B148" s="2">
        <v>1499.5</v>
      </c>
      <c r="C148" s="4">
        <f t="shared" si="24"/>
        <v>-2.6425139592260775E-2</v>
      </c>
      <c r="D148" s="4">
        <f t="shared" si="30"/>
        <v>14.448506489826002</v>
      </c>
      <c r="E148" s="4"/>
      <c r="F148" s="1">
        <v>45912</v>
      </c>
      <c r="G148">
        <v>823.55</v>
      </c>
      <c r="H148">
        <f t="shared" si="25"/>
        <v>-1.214107934195626E-4</v>
      </c>
      <c r="I148">
        <f t="shared" si="31"/>
        <v>30.419519818155994</v>
      </c>
      <c r="K148" s="1">
        <v>45926</v>
      </c>
      <c r="L148" s="2">
        <v>1586.7</v>
      </c>
      <c r="M148" s="2">
        <f t="shared" si="26"/>
        <v>-2.5009217156200102E-2</v>
      </c>
      <c r="N148" s="2">
        <f t="shared" si="32"/>
        <v>13.483338391502285</v>
      </c>
      <c r="O148" s="2"/>
      <c r="P148" s="1">
        <v>45926</v>
      </c>
      <c r="Q148" s="2">
        <v>16286</v>
      </c>
      <c r="R148">
        <f t="shared" si="27"/>
        <v>1.0449320794148381E-3</v>
      </c>
      <c r="S148">
        <f t="shared" si="33"/>
        <v>27.624347769898058</v>
      </c>
      <c r="U148" s="1">
        <v>45929</v>
      </c>
      <c r="V148" s="2">
        <v>12041</v>
      </c>
      <c r="W148">
        <f t="shared" si="28"/>
        <v>-2.4026512013256007E-3</v>
      </c>
      <c r="X148">
        <f t="shared" si="34"/>
        <v>25.355175565797133</v>
      </c>
      <c r="Z148" s="2">
        <f t="shared" si="35"/>
        <v>111.33088803517947</v>
      </c>
      <c r="AA148" s="3">
        <f t="shared" si="29"/>
        <v>-6.9037954180620753E-3</v>
      </c>
    </row>
    <row r="149" spans="1:27" x14ac:dyDescent="0.3">
      <c r="A149" s="1">
        <v>45923</v>
      </c>
      <c r="B149" s="2">
        <v>1497.5</v>
      </c>
      <c r="C149" s="4">
        <f t="shared" si="24"/>
        <v>-1.333777925975325E-3</v>
      </c>
      <c r="D149" s="4">
        <f t="shared" si="30"/>
        <v>14.429235390806561</v>
      </c>
      <c r="E149" s="4"/>
      <c r="F149" s="1">
        <v>45915</v>
      </c>
      <c r="G149">
        <v>824.75</v>
      </c>
      <c r="H149">
        <f t="shared" si="25"/>
        <v>1.4571064294821754E-3</v>
      </c>
      <c r="I149">
        <f t="shared" si="31"/>
        <v>30.463844296064789</v>
      </c>
      <c r="K149" s="1">
        <v>45929</v>
      </c>
      <c r="L149" s="2">
        <v>1589.3</v>
      </c>
      <c r="M149" s="2">
        <f t="shared" si="26"/>
        <v>1.638621037373107E-3</v>
      </c>
      <c r="N149" s="2">
        <f t="shared" si="32"/>
        <v>13.505432473444621</v>
      </c>
      <c r="O149" s="2"/>
      <c r="P149" s="1">
        <v>45929</v>
      </c>
      <c r="Q149" s="2">
        <v>15984</v>
      </c>
      <c r="R149">
        <f t="shared" si="27"/>
        <v>-1.8543534323959228E-2</v>
      </c>
      <c r="S149">
        <f t="shared" si="33"/>
        <v>27.112094728849964</v>
      </c>
      <c r="U149" s="1">
        <v>45930</v>
      </c>
      <c r="V149" s="2">
        <v>12222</v>
      </c>
      <c r="W149">
        <f t="shared" si="28"/>
        <v>1.5031974088530853E-2</v>
      </c>
      <c r="X149">
        <f t="shared" si="34"/>
        <v>25.736313907912344</v>
      </c>
      <c r="Z149" s="2">
        <f t="shared" si="35"/>
        <v>111.24692079707827</v>
      </c>
      <c r="AA149" s="3">
        <f t="shared" si="29"/>
        <v>-7.5421331476910325E-4</v>
      </c>
    </row>
    <row r="150" spans="1:27" x14ac:dyDescent="0.3">
      <c r="A150" s="1">
        <v>45924</v>
      </c>
      <c r="B150" s="2">
        <v>1494.6</v>
      </c>
      <c r="C150" s="4">
        <f t="shared" si="24"/>
        <v>-1.9365609348915465E-3</v>
      </c>
      <c r="D150" s="4">
        <f t="shared" si="30"/>
        <v>14.40129229722837</v>
      </c>
      <c r="E150" s="4"/>
      <c r="F150" s="1">
        <v>45916</v>
      </c>
      <c r="G150">
        <v>831.55</v>
      </c>
      <c r="H150">
        <f t="shared" si="25"/>
        <v>8.2449227038495967E-3</v>
      </c>
      <c r="I150">
        <f t="shared" si="31"/>
        <v>30.715016337547954</v>
      </c>
      <c r="K150" s="1">
        <v>45930</v>
      </c>
      <c r="L150" s="2">
        <v>1594.3</v>
      </c>
      <c r="M150" s="2">
        <f t="shared" si="26"/>
        <v>3.1460391367268609E-3</v>
      </c>
      <c r="N150" s="2">
        <f t="shared" si="32"/>
        <v>13.547921092564499</v>
      </c>
      <c r="O150" s="2"/>
      <c r="P150" s="1">
        <v>45930</v>
      </c>
      <c r="Q150" s="2">
        <v>16029</v>
      </c>
      <c r="R150">
        <f t="shared" si="27"/>
        <v>2.8153153153153152E-3</v>
      </c>
      <c r="S150">
        <f t="shared" si="33"/>
        <v>27.188423824370378</v>
      </c>
      <c r="U150" s="1">
        <v>45931</v>
      </c>
      <c r="V150" s="2">
        <v>12095</v>
      </c>
      <c r="W150">
        <f t="shared" si="28"/>
        <v>-1.0391098019963999E-2</v>
      </c>
      <c r="X150">
        <f t="shared" si="34"/>
        <v>25.468885347422663</v>
      </c>
      <c r="Z150" s="2">
        <f t="shared" si="35"/>
        <v>111.32153889913386</v>
      </c>
      <c r="AA150" s="3">
        <f t="shared" si="29"/>
        <v>6.7074307783943077E-4</v>
      </c>
    </row>
    <row r="151" spans="1:27" x14ac:dyDescent="0.3">
      <c r="A151" s="1">
        <v>45925</v>
      </c>
      <c r="B151" s="2">
        <v>1484.8</v>
      </c>
      <c r="C151" s="4">
        <f t="shared" si="24"/>
        <v>-6.556938311253817E-3</v>
      </c>
      <c r="D151" s="4">
        <f t="shared" si="30"/>
        <v>14.306863912033108</v>
      </c>
      <c r="E151" s="4"/>
      <c r="F151" s="1">
        <v>45917</v>
      </c>
      <c r="G151">
        <v>857.15</v>
      </c>
      <c r="H151">
        <f t="shared" si="25"/>
        <v>3.0785881787024259E-2</v>
      </c>
      <c r="I151">
        <f t="shared" si="31"/>
        <v>31.660605199602227</v>
      </c>
      <c r="K151" s="1">
        <v>45931</v>
      </c>
      <c r="L151" s="2">
        <v>1636.2</v>
      </c>
      <c r="M151" s="2">
        <f t="shared" si="26"/>
        <v>2.6281126513203343E-2</v>
      </c>
      <c r="N151" s="2">
        <f t="shared" si="32"/>
        <v>13.903975720789081</v>
      </c>
      <c r="O151" s="2"/>
      <c r="P151" s="1">
        <v>45931</v>
      </c>
      <c r="Q151" s="2">
        <v>15965</v>
      </c>
      <c r="R151">
        <f t="shared" si="27"/>
        <v>-3.9927631168507078E-3</v>
      </c>
      <c r="S151">
        <f t="shared" si="33"/>
        <v>27.079866888519128</v>
      </c>
      <c r="U151" s="1">
        <v>45933</v>
      </c>
      <c r="V151" s="2">
        <v>12019</v>
      </c>
      <c r="W151">
        <f t="shared" si="28"/>
        <v>-6.2835882596114093E-3</v>
      </c>
      <c r="X151">
        <f t="shared" si="34"/>
        <v>25.308849358468208</v>
      </c>
      <c r="Z151" s="2">
        <f t="shared" si="35"/>
        <v>112.26016107941176</v>
      </c>
      <c r="AA151" s="3">
        <f t="shared" si="29"/>
        <v>8.4316313766410467E-3</v>
      </c>
    </row>
    <row r="152" spans="1:27" x14ac:dyDescent="0.3">
      <c r="A152" s="1">
        <v>45926</v>
      </c>
      <c r="B152" s="2">
        <v>1448.9</v>
      </c>
      <c r="C152" s="4">
        <f t="shared" si="24"/>
        <v>-2.4178340517241288E-2</v>
      </c>
      <c r="D152" s="4">
        <f t="shared" si="30"/>
        <v>13.96094768463414</v>
      </c>
      <c r="E152" s="4"/>
      <c r="F152" s="1">
        <v>45918</v>
      </c>
      <c r="G152">
        <v>854.35</v>
      </c>
      <c r="H152">
        <f t="shared" si="25"/>
        <v>-3.2666394446712412E-3</v>
      </c>
      <c r="I152">
        <f t="shared" si="31"/>
        <v>31.557181417815045</v>
      </c>
      <c r="K152" s="1">
        <v>45933</v>
      </c>
      <c r="L152" s="2">
        <v>1631.2</v>
      </c>
      <c r="M152" s="2">
        <f t="shared" si="26"/>
        <v>-3.0558611416697224E-3</v>
      </c>
      <c r="N152" s="2">
        <f t="shared" si="32"/>
        <v>13.861487101669203</v>
      </c>
      <c r="O152" s="2"/>
      <c r="P152" s="1">
        <v>45933</v>
      </c>
      <c r="Q152" s="2">
        <v>15806</v>
      </c>
      <c r="R152">
        <f t="shared" si="27"/>
        <v>-9.9592859379893511E-3</v>
      </c>
      <c r="S152">
        <f t="shared" si="33"/>
        <v>26.810170751013676</v>
      </c>
      <c r="U152" s="1">
        <v>45936</v>
      </c>
      <c r="V152" s="2">
        <v>12055</v>
      </c>
      <c r="W152">
        <f t="shared" si="28"/>
        <v>2.9952575089441718E-3</v>
      </c>
      <c r="X152">
        <f t="shared" si="34"/>
        <v>25.3846558795519</v>
      </c>
      <c r="Z152" s="2">
        <f t="shared" si="35"/>
        <v>111.57444283468396</v>
      </c>
      <c r="AA152" s="3">
        <f t="shared" si="29"/>
        <v>-6.1082955710595188E-3</v>
      </c>
    </row>
    <row r="153" spans="1:27" x14ac:dyDescent="0.3">
      <c r="A153" s="1">
        <v>45929</v>
      </c>
      <c r="B153" s="2">
        <v>1441.8</v>
      </c>
      <c r="C153" s="4">
        <f t="shared" si="24"/>
        <v>-4.9002691697150498E-3</v>
      </c>
      <c r="D153" s="4">
        <f t="shared" si="30"/>
        <v>13.892535283115123</v>
      </c>
      <c r="E153" s="4"/>
      <c r="F153" s="1">
        <v>45919</v>
      </c>
      <c r="G153">
        <v>862.35</v>
      </c>
      <c r="H153">
        <f t="shared" si="25"/>
        <v>9.3638438579036684E-3</v>
      </c>
      <c r="I153">
        <f t="shared" si="31"/>
        <v>31.852677937207002</v>
      </c>
      <c r="K153" s="1">
        <v>45936</v>
      </c>
      <c r="L153" s="2">
        <v>1654.7</v>
      </c>
      <c r="M153" s="2">
        <f t="shared" si="26"/>
        <v>1.4406571848945561E-2</v>
      </c>
      <c r="N153" s="2">
        <f t="shared" si="32"/>
        <v>14.061183611532634</v>
      </c>
      <c r="O153" s="2"/>
      <c r="P153" s="1">
        <v>45936</v>
      </c>
      <c r="Q153" s="2">
        <v>15998</v>
      </c>
      <c r="R153">
        <f t="shared" si="27"/>
        <v>1.2147285840819942E-2</v>
      </c>
      <c r="S153">
        <f t="shared" si="33"/>
        <v>27.135841558567432</v>
      </c>
      <c r="U153" s="1">
        <v>45937</v>
      </c>
      <c r="V153" s="2">
        <v>12184</v>
      </c>
      <c r="W153">
        <f t="shared" si="28"/>
        <v>1.0700953961012028E-2</v>
      </c>
      <c r="X153">
        <f t="shared" si="34"/>
        <v>25.65629591343512</v>
      </c>
      <c r="Z153" s="2">
        <f t="shared" si="35"/>
        <v>112.59853430385731</v>
      </c>
      <c r="AA153" s="3">
        <f t="shared" si="29"/>
        <v>9.1785488070121879E-3</v>
      </c>
    </row>
    <row r="154" spans="1:27" x14ac:dyDescent="0.3">
      <c r="A154" s="1">
        <v>45930</v>
      </c>
      <c r="B154" s="2">
        <v>1441.8</v>
      </c>
      <c r="C154" s="4">
        <f t="shared" si="24"/>
        <v>0</v>
      </c>
      <c r="D154" s="4">
        <f t="shared" si="30"/>
        <v>13.892535283115123</v>
      </c>
      <c r="E154" s="4"/>
      <c r="F154" s="1">
        <v>45922</v>
      </c>
      <c r="G154">
        <v>855.25</v>
      </c>
      <c r="H154">
        <f t="shared" si="25"/>
        <v>-8.2333159390039108E-3</v>
      </c>
      <c r="I154">
        <f t="shared" si="31"/>
        <v>31.590424776246639</v>
      </c>
      <c r="K154" s="1">
        <v>45937</v>
      </c>
      <c r="L154" s="2">
        <v>1653.1</v>
      </c>
      <c r="M154" s="2">
        <f t="shared" si="26"/>
        <v>-9.6694264821426019E-4</v>
      </c>
      <c r="N154" s="2">
        <f t="shared" si="32"/>
        <v>14.047587253414271</v>
      </c>
      <c r="O154" s="2"/>
      <c r="P154" s="1">
        <v>45937</v>
      </c>
      <c r="Q154" s="2">
        <v>16108</v>
      </c>
      <c r="R154">
        <f t="shared" si="27"/>
        <v>6.8758594824353042E-3</v>
      </c>
      <c r="S154">
        <f t="shared" si="33"/>
        <v>27.322423792061773</v>
      </c>
      <c r="U154" s="1">
        <v>45938</v>
      </c>
      <c r="V154" s="2">
        <v>11991</v>
      </c>
      <c r="W154">
        <f t="shared" si="28"/>
        <v>-1.5840446487196323E-2</v>
      </c>
      <c r="X154">
        <f t="shared" si="34"/>
        <v>25.249888730958677</v>
      </c>
      <c r="Z154" s="2">
        <f t="shared" si="35"/>
        <v>112.10285983579648</v>
      </c>
      <c r="AA154" s="3">
        <f t="shared" si="29"/>
        <v>-4.4021396115442313E-3</v>
      </c>
    </row>
    <row r="155" spans="1:27" x14ac:dyDescent="0.3">
      <c r="A155" s="1">
        <v>45931</v>
      </c>
      <c r="B155" s="2">
        <v>1445.8</v>
      </c>
      <c r="C155" s="4">
        <f t="shared" si="24"/>
        <v>2.7743098904147593E-3</v>
      </c>
      <c r="D155" s="4">
        <f t="shared" si="30"/>
        <v>13.931077481154004</v>
      </c>
      <c r="E155" s="4"/>
      <c r="F155" s="1">
        <v>45923</v>
      </c>
      <c r="G155">
        <v>870.6</v>
      </c>
      <c r="H155">
        <f t="shared" si="25"/>
        <v>1.7947968430283571E-2</v>
      </c>
      <c r="I155">
        <f t="shared" si="31"/>
        <v>32.157408722829963</v>
      </c>
      <c r="K155" s="1">
        <v>45938</v>
      </c>
      <c r="L155" s="2">
        <v>1631.6</v>
      </c>
      <c r="M155" s="2">
        <f t="shared" si="26"/>
        <v>-1.300586776359567E-2</v>
      </c>
      <c r="N155" s="2">
        <f t="shared" si="32"/>
        <v>13.864886191198792</v>
      </c>
      <c r="O155" s="2"/>
      <c r="P155" s="1">
        <v>45938</v>
      </c>
      <c r="Q155" s="2">
        <v>16012</v>
      </c>
      <c r="R155">
        <f t="shared" si="27"/>
        <v>-5.9597715420908869E-3</v>
      </c>
      <c r="S155">
        <f t="shared" si="33"/>
        <v>27.159588388284895</v>
      </c>
      <c r="U155" s="1">
        <v>45939</v>
      </c>
      <c r="V155" s="2">
        <v>12192</v>
      </c>
      <c r="W155">
        <f t="shared" si="28"/>
        <v>1.6762571928946712E-2</v>
      </c>
      <c r="X155">
        <f t="shared" si="34"/>
        <v>25.673141807009277</v>
      </c>
      <c r="Z155" s="2">
        <f t="shared" si="35"/>
        <v>112.78610259047693</v>
      </c>
      <c r="AA155" s="3">
        <f t="shared" si="29"/>
        <v>6.0947843407495039E-3</v>
      </c>
    </row>
    <row r="156" spans="1:27" x14ac:dyDescent="0.3">
      <c r="A156" s="1">
        <v>45933</v>
      </c>
      <c r="B156" s="2">
        <v>1446.6</v>
      </c>
      <c r="C156" s="4">
        <f t="shared" si="24"/>
        <v>5.5332687785306024E-4</v>
      </c>
      <c r="D156" s="4">
        <f t="shared" si="30"/>
        <v>13.938785920761779</v>
      </c>
      <c r="E156" s="4"/>
      <c r="F156" s="1">
        <v>45924</v>
      </c>
      <c r="G156">
        <v>866.2</v>
      </c>
      <c r="H156">
        <f t="shared" si="25"/>
        <v>-5.0539857569492043E-3</v>
      </c>
      <c r="I156">
        <f t="shared" si="31"/>
        <v>31.994885637164387</v>
      </c>
      <c r="K156" s="1">
        <v>45939</v>
      </c>
      <c r="L156" s="2">
        <v>1631.6</v>
      </c>
      <c r="M156" s="2">
        <f t="shared" si="26"/>
        <v>0</v>
      </c>
      <c r="N156" s="2">
        <f t="shared" si="32"/>
        <v>13.864886191198792</v>
      </c>
      <c r="O156" s="2"/>
      <c r="P156" s="1">
        <v>45939</v>
      </c>
      <c r="Q156" s="2">
        <v>15985</v>
      </c>
      <c r="R156">
        <f t="shared" si="27"/>
        <v>-1.6862353235073695E-3</v>
      </c>
      <c r="S156">
        <f t="shared" si="33"/>
        <v>27.113790930972648</v>
      </c>
      <c r="U156" s="1">
        <v>45940</v>
      </c>
      <c r="V156" s="2">
        <v>12281</v>
      </c>
      <c r="W156">
        <f t="shared" si="28"/>
        <v>7.2998687664041998E-3</v>
      </c>
      <c r="X156">
        <f t="shared" si="34"/>
        <v>25.860552373021726</v>
      </c>
      <c r="Z156" s="2">
        <f t="shared" si="35"/>
        <v>112.77290105311934</v>
      </c>
      <c r="AA156" s="3">
        <f t="shared" si="29"/>
        <v>-1.1704932659584166E-4</v>
      </c>
    </row>
    <row r="157" spans="1:27" x14ac:dyDescent="0.3">
      <c r="A157" s="1">
        <v>45936</v>
      </c>
      <c r="B157" s="2">
        <v>1476</v>
      </c>
      <c r="C157" s="4">
        <f t="shared" si="24"/>
        <v>2.0323517212774846E-2</v>
      </c>
      <c r="D157" s="4">
        <f t="shared" si="30"/>
        <v>14.222071076347566</v>
      </c>
      <c r="E157" s="4"/>
      <c r="F157" s="1">
        <v>45924</v>
      </c>
      <c r="G157">
        <v>866.2</v>
      </c>
      <c r="H157">
        <f t="shared" si="25"/>
        <v>0</v>
      </c>
      <c r="I157">
        <f t="shared" si="31"/>
        <v>31.994885637164387</v>
      </c>
      <c r="K157" s="1">
        <v>45939</v>
      </c>
      <c r="L157" s="2">
        <v>1658.5</v>
      </c>
      <c r="M157" s="2">
        <f t="shared" si="26"/>
        <v>1.6486884040205988E-2</v>
      </c>
      <c r="N157" s="2">
        <f t="shared" si="32"/>
        <v>14.093474962063739</v>
      </c>
      <c r="O157" s="2"/>
      <c r="P157" s="1">
        <v>45940</v>
      </c>
      <c r="Q157" s="2">
        <v>16265</v>
      </c>
      <c r="R157">
        <f t="shared" si="27"/>
        <v>1.7516421645292463E-2</v>
      </c>
      <c r="S157">
        <f t="shared" si="33"/>
        <v>27.588727525321875</v>
      </c>
      <c r="U157" s="1">
        <v>45943</v>
      </c>
      <c r="V157" s="2">
        <v>12172</v>
      </c>
      <c r="W157">
        <f t="shared" si="28"/>
        <v>-8.8754987378877933E-3</v>
      </c>
      <c r="X157">
        <f t="shared" si="34"/>
        <v>25.631027073073888</v>
      </c>
      <c r="Z157" s="2">
        <f t="shared" si="35"/>
        <v>113.53018627397145</v>
      </c>
      <c r="AA157" s="3">
        <f t="shared" si="29"/>
        <v>6.7151346979661408E-3</v>
      </c>
    </row>
    <row r="158" spans="1:27" x14ac:dyDescent="0.3">
      <c r="A158" s="1">
        <v>45937</v>
      </c>
      <c r="B158" s="2">
        <v>1458.5</v>
      </c>
      <c r="C158" s="4">
        <f t="shared" si="24"/>
        <v>-1.1856368563685637E-2</v>
      </c>
      <c r="D158" s="4">
        <f t="shared" si="30"/>
        <v>14.053448959927456</v>
      </c>
      <c r="E158" s="4"/>
      <c r="F158" s="1">
        <v>45925</v>
      </c>
      <c r="G158">
        <v>861.15</v>
      </c>
      <c r="H158">
        <f t="shared" si="25"/>
        <v>-5.8300623412607571E-3</v>
      </c>
      <c r="I158">
        <f t="shared" si="31"/>
        <v>31.80835345929821</v>
      </c>
      <c r="K158" s="1">
        <v>45940</v>
      </c>
      <c r="L158" s="2">
        <v>1670.9</v>
      </c>
      <c r="M158" s="2">
        <f t="shared" si="26"/>
        <v>7.4766355140187465E-3</v>
      </c>
      <c r="N158" s="2">
        <f t="shared" si="32"/>
        <v>14.198846737481039</v>
      </c>
      <c r="O158" s="2"/>
      <c r="P158" s="1">
        <v>45943</v>
      </c>
      <c r="Q158" s="2">
        <v>16323</v>
      </c>
      <c r="R158">
        <f t="shared" si="27"/>
        <v>3.5659391331079003E-3</v>
      </c>
      <c r="S158">
        <f t="shared" si="33"/>
        <v>27.687107248437073</v>
      </c>
      <c r="U158" s="1">
        <v>45944</v>
      </c>
      <c r="V158" s="2">
        <v>12070</v>
      </c>
      <c r="W158">
        <f t="shared" si="28"/>
        <v>-8.3798882681564244E-3</v>
      </c>
      <c r="X158">
        <f t="shared" si="34"/>
        <v>25.416241930003437</v>
      </c>
      <c r="Z158" s="2">
        <f t="shared" si="35"/>
        <v>113.16399833514721</v>
      </c>
      <c r="AA158" s="3">
        <f t="shared" si="29"/>
        <v>-3.225467612116395E-3</v>
      </c>
    </row>
    <row r="159" spans="1:27" x14ac:dyDescent="0.3">
      <c r="A159" s="1">
        <v>45938</v>
      </c>
      <c r="B159" s="2">
        <v>1495</v>
      </c>
      <c r="C159" s="4">
        <f t="shared" si="24"/>
        <v>2.5025711347274597E-2</v>
      </c>
      <c r="D159" s="4">
        <f t="shared" si="30"/>
        <v>14.405146517032255</v>
      </c>
      <c r="E159" s="4"/>
      <c r="F159" s="1">
        <v>45926</v>
      </c>
      <c r="G159">
        <v>856.95</v>
      </c>
      <c r="H159">
        <f t="shared" si="25"/>
        <v>-4.8771990942343751E-3</v>
      </c>
      <c r="I159">
        <f t="shared" si="31"/>
        <v>31.653217786617436</v>
      </c>
      <c r="K159" s="1">
        <v>45943</v>
      </c>
      <c r="L159" s="2">
        <v>1668.4</v>
      </c>
      <c r="M159" s="2">
        <f t="shared" si="26"/>
        <v>-1.4961996528816805E-3</v>
      </c>
      <c r="N159" s="2">
        <f t="shared" si="32"/>
        <v>14.1776024279211</v>
      </c>
      <c r="O159" s="2"/>
      <c r="P159" s="1">
        <v>45944</v>
      </c>
      <c r="Q159" s="2">
        <v>16261</v>
      </c>
      <c r="R159">
        <f t="shared" si="27"/>
        <v>-3.7983213869999389E-3</v>
      </c>
      <c r="S159">
        <f t="shared" si="33"/>
        <v>27.581942716831172</v>
      </c>
      <c r="U159" s="1">
        <v>45945</v>
      </c>
      <c r="V159" s="2">
        <v>12311</v>
      </c>
      <c r="W159">
        <f t="shared" si="28"/>
        <v>1.996685998342999E-2</v>
      </c>
      <c r="X159">
        <f t="shared" si="34"/>
        <v>25.923724473924796</v>
      </c>
      <c r="Z159" s="2">
        <f t="shared" si="35"/>
        <v>113.74163392232676</v>
      </c>
      <c r="AA159" s="3">
        <f t="shared" si="29"/>
        <v>5.1044112586833279E-3</v>
      </c>
    </row>
    <row r="160" spans="1:27" x14ac:dyDescent="0.3">
      <c r="A160" s="1">
        <v>45939</v>
      </c>
      <c r="B160" s="2">
        <v>1509.3</v>
      </c>
      <c r="C160" s="4">
        <f t="shared" si="24"/>
        <v>9.5652173913043179E-3</v>
      </c>
      <c r="D160" s="4">
        <f t="shared" si="30"/>
        <v>14.54293487502126</v>
      </c>
      <c r="E160" s="4"/>
      <c r="F160" s="1">
        <v>45929</v>
      </c>
      <c r="G160">
        <v>870.75</v>
      </c>
      <c r="H160">
        <f t="shared" si="25"/>
        <v>1.6103623315245875E-2</v>
      </c>
      <c r="I160">
        <f t="shared" si="31"/>
        <v>32.162949282568562</v>
      </c>
      <c r="K160" s="1">
        <v>45944</v>
      </c>
      <c r="L160" s="2">
        <v>1654.4</v>
      </c>
      <c r="M160" s="2">
        <f t="shared" si="26"/>
        <v>-8.3912730760009584E-3</v>
      </c>
      <c r="N160" s="2">
        <f t="shared" si="32"/>
        <v>14.05863429438544</v>
      </c>
      <c r="O160" s="2"/>
      <c r="P160" s="1">
        <v>45945</v>
      </c>
      <c r="Q160" s="2">
        <v>16212</v>
      </c>
      <c r="R160">
        <f t="shared" si="27"/>
        <v>-3.0133448127421438E-3</v>
      </c>
      <c r="S160">
        <f t="shared" si="33"/>
        <v>27.498828812820058</v>
      </c>
      <c r="U160" s="1">
        <v>45946</v>
      </c>
      <c r="V160" s="2">
        <v>12358</v>
      </c>
      <c r="W160">
        <f t="shared" si="28"/>
        <v>3.8177239866785803E-3</v>
      </c>
      <c r="X160">
        <f t="shared" si="34"/>
        <v>26.022694098672947</v>
      </c>
      <c r="Z160" s="2">
        <f t="shared" si="35"/>
        <v>114.28604136346827</v>
      </c>
      <c r="AA160" s="3">
        <f t="shared" si="29"/>
        <v>4.7863515088353292E-3</v>
      </c>
    </row>
    <row r="161" spans="1:27" x14ac:dyDescent="0.3">
      <c r="A161" s="1">
        <v>45940</v>
      </c>
      <c r="B161" s="2">
        <v>1514.9</v>
      </c>
      <c r="C161" s="4">
        <f t="shared" si="24"/>
        <v>3.7103292917247312E-3</v>
      </c>
      <c r="D161" s="4">
        <f t="shared" si="30"/>
        <v>14.596893952275694</v>
      </c>
      <c r="E161" s="4"/>
      <c r="F161" s="1">
        <v>45930</v>
      </c>
      <c r="G161">
        <v>872.45</v>
      </c>
      <c r="H161">
        <f t="shared" si="25"/>
        <v>1.952339936836113E-3</v>
      </c>
      <c r="I161">
        <f t="shared" si="31"/>
        <v>32.225742292939358</v>
      </c>
      <c r="K161" s="1">
        <v>45945</v>
      </c>
      <c r="L161" s="2">
        <v>1655.1</v>
      </c>
      <c r="M161" s="2">
        <f t="shared" si="26"/>
        <v>4.2311411992252058E-4</v>
      </c>
      <c r="N161" s="2">
        <f t="shared" si="32"/>
        <v>14.064582701062221</v>
      </c>
      <c r="O161" s="2"/>
      <c r="P161" s="1">
        <v>45946</v>
      </c>
      <c r="Q161" s="2">
        <v>16298</v>
      </c>
      <c r="R161">
        <f t="shared" si="27"/>
        <v>5.3047125585985689E-3</v>
      </c>
      <c r="S161">
        <f t="shared" si="33"/>
        <v>27.644702195370176</v>
      </c>
      <c r="U161" s="1">
        <v>45947</v>
      </c>
      <c r="V161" s="2">
        <v>12370</v>
      </c>
      <c r="W161">
        <f t="shared" si="28"/>
        <v>9.7103091115067163E-4</v>
      </c>
      <c r="X161">
        <f t="shared" si="34"/>
        <v>26.047962939034175</v>
      </c>
      <c r="Z161" s="2">
        <f t="shared" si="35"/>
        <v>114.57988408068162</v>
      </c>
      <c r="AA161" s="3">
        <f t="shared" si="29"/>
        <v>2.5711164172608214E-3</v>
      </c>
    </row>
    <row r="162" spans="1:27" x14ac:dyDescent="0.3">
      <c r="A162" s="1">
        <v>45943</v>
      </c>
      <c r="B162" s="2">
        <v>1493.2</v>
      </c>
      <c r="C162" s="4">
        <f t="shared" si="24"/>
        <v>-1.4324377846722585E-2</v>
      </c>
      <c r="D162" s="4">
        <f t="shared" si="30"/>
        <v>14.387802527914758</v>
      </c>
      <c r="E162" s="4"/>
      <c r="F162" s="1">
        <v>45931</v>
      </c>
      <c r="G162">
        <v>864.1</v>
      </c>
      <c r="H162">
        <f t="shared" si="25"/>
        <v>-9.5707490400596274E-3</v>
      </c>
      <c r="I162">
        <f t="shared" si="31"/>
        <v>31.917317800824001</v>
      </c>
      <c r="K162" s="1">
        <v>45946</v>
      </c>
      <c r="L162" s="2">
        <v>1659</v>
      </c>
      <c r="M162" s="2">
        <f t="shared" si="26"/>
        <v>2.356353090447762E-3</v>
      </c>
      <c r="N162" s="2">
        <f t="shared" si="32"/>
        <v>14.097723823975727</v>
      </c>
      <c r="O162" s="2"/>
      <c r="P162" s="1">
        <v>45947</v>
      </c>
      <c r="Q162" s="2">
        <v>16401</v>
      </c>
      <c r="R162">
        <f t="shared" si="27"/>
        <v>6.3197938397349367E-3</v>
      </c>
      <c r="S162">
        <f t="shared" si="33"/>
        <v>27.819411014005784</v>
      </c>
      <c r="U162" s="1">
        <v>45950</v>
      </c>
      <c r="V162" s="2">
        <v>12346</v>
      </c>
      <c r="W162">
        <f t="shared" si="28"/>
        <v>-1.9401778496362166E-3</v>
      </c>
      <c r="X162">
        <f t="shared" si="34"/>
        <v>25.997425258311715</v>
      </c>
      <c r="Z162" s="2">
        <f t="shared" si="35"/>
        <v>114.21968042503198</v>
      </c>
      <c r="AA162" s="3">
        <f t="shared" si="29"/>
        <v>-3.1436901733641331E-3</v>
      </c>
    </row>
    <row r="163" spans="1:27" x14ac:dyDescent="0.3">
      <c r="A163" s="1">
        <v>45944</v>
      </c>
      <c r="B163" s="2">
        <v>1489.9</v>
      </c>
      <c r="C163" s="4">
        <f t="shared" si="24"/>
        <v>-2.2100187516742261E-3</v>
      </c>
      <c r="D163" s="4">
        <f t="shared" si="30"/>
        <v>14.356005214532679</v>
      </c>
      <c r="E163" s="4"/>
      <c r="F163" s="1">
        <v>45933</v>
      </c>
      <c r="G163">
        <v>867.3</v>
      </c>
      <c r="H163">
        <f t="shared" si="25"/>
        <v>3.7032750839022469E-3</v>
      </c>
      <c r="I163">
        <f t="shared" si="31"/>
        <v>32.035516408580783</v>
      </c>
      <c r="K163" s="1">
        <v>45947</v>
      </c>
      <c r="L163" s="2">
        <v>1679.1</v>
      </c>
      <c r="M163" s="2">
        <f t="shared" si="26"/>
        <v>1.211573236889687E-2</v>
      </c>
      <c r="N163" s="2">
        <f t="shared" si="32"/>
        <v>14.26852807283764</v>
      </c>
      <c r="O163" s="2"/>
      <c r="P163" s="1">
        <v>45950</v>
      </c>
      <c r="Q163" s="2">
        <v>16424</v>
      </c>
      <c r="R163">
        <f t="shared" si="27"/>
        <v>1.4023535150295714E-3</v>
      </c>
      <c r="S163">
        <f t="shared" si="33"/>
        <v>27.858423662827327</v>
      </c>
      <c r="U163" s="1">
        <v>45951</v>
      </c>
      <c r="V163" s="2">
        <v>12342</v>
      </c>
      <c r="W163">
        <f t="shared" si="28"/>
        <v>-3.2399157621901828E-4</v>
      </c>
      <c r="X163">
        <f t="shared" si="34"/>
        <v>25.98900231152464</v>
      </c>
      <c r="Z163" s="2">
        <f t="shared" si="35"/>
        <v>114.50747567030308</v>
      </c>
      <c r="AA163" s="3">
        <f t="shared" si="29"/>
        <v>2.519664248754383E-3</v>
      </c>
    </row>
    <row r="164" spans="1:27" x14ac:dyDescent="0.3">
      <c r="A164" s="1">
        <v>45945</v>
      </c>
      <c r="B164" s="2">
        <v>1474.4</v>
      </c>
      <c r="C164" s="4">
        <f t="shared" si="24"/>
        <v>-1.0403382777367609E-2</v>
      </c>
      <c r="D164" s="4">
        <f t="shared" si="30"/>
        <v>14.206654197132011</v>
      </c>
      <c r="E164" s="4"/>
      <c r="F164" s="1">
        <v>45933</v>
      </c>
      <c r="G164">
        <v>867.3</v>
      </c>
      <c r="H164">
        <f t="shared" si="25"/>
        <v>0</v>
      </c>
      <c r="I164">
        <f t="shared" si="31"/>
        <v>32.035516408580783</v>
      </c>
      <c r="K164" s="1">
        <v>45950</v>
      </c>
      <c r="L164" s="2">
        <v>1688.6</v>
      </c>
      <c r="M164" s="2">
        <f t="shared" si="26"/>
        <v>5.6577928652254191E-3</v>
      </c>
      <c r="N164" s="2">
        <f t="shared" si="32"/>
        <v>14.349256449165411</v>
      </c>
      <c r="O164" s="2"/>
      <c r="P164" s="1">
        <v>45951</v>
      </c>
      <c r="Q164" s="2">
        <v>16396</v>
      </c>
      <c r="R164">
        <f t="shared" si="27"/>
        <v>-1.7048222113979542E-3</v>
      </c>
      <c r="S164">
        <f t="shared" si="33"/>
        <v>27.810930003392404</v>
      </c>
      <c r="U164" s="1">
        <v>45953</v>
      </c>
      <c r="V164" s="2">
        <v>12145</v>
      </c>
      <c r="W164">
        <f t="shared" si="28"/>
        <v>-1.5961756603467832E-2</v>
      </c>
      <c r="X164">
        <f t="shared" si="34"/>
        <v>25.574172182261119</v>
      </c>
      <c r="Z164" s="2">
        <f t="shared" si="35"/>
        <v>113.97652924053173</v>
      </c>
      <c r="AA164" s="3">
        <f t="shared" si="29"/>
        <v>-4.6367839886722884E-3</v>
      </c>
    </row>
    <row r="165" spans="1:27" x14ac:dyDescent="0.3">
      <c r="A165" s="1">
        <v>45946</v>
      </c>
      <c r="B165" s="2">
        <v>1471.5</v>
      </c>
      <c r="C165" s="4">
        <f t="shared" si="24"/>
        <v>-1.9669017905589331E-3</v>
      </c>
      <c r="D165" s="4">
        <f t="shared" si="30"/>
        <v>14.17871110355382</v>
      </c>
      <c r="E165" s="4"/>
      <c r="F165" s="1">
        <v>45936</v>
      </c>
      <c r="G165">
        <v>874.05</v>
      </c>
      <c r="H165">
        <f t="shared" si="25"/>
        <v>7.7827741265997933E-3</v>
      </c>
      <c r="I165">
        <f t="shared" si="31"/>
        <v>32.284841596817749</v>
      </c>
      <c r="K165" s="1">
        <v>45951</v>
      </c>
      <c r="L165" s="2">
        <v>1690.5</v>
      </c>
      <c r="M165" s="2">
        <f t="shared" si="26"/>
        <v>1.1251924671325897E-3</v>
      </c>
      <c r="N165" s="2">
        <f t="shared" si="32"/>
        <v>14.365402124430965</v>
      </c>
      <c r="O165" s="2"/>
      <c r="P165" s="1">
        <v>45953</v>
      </c>
      <c r="Q165" s="2">
        <v>16393</v>
      </c>
      <c r="R165">
        <f t="shared" si="27"/>
        <v>-1.8297145645279338E-4</v>
      </c>
      <c r="S165">
        <f t="shared" si="33"/>
        <v>27.805841397024377</v>
      </c>
      <c r="U165" s="1">
        <v>45954</v>
      </c>
      <c r="V165" s="2">
        <v>11918</v>
      </c>
      <c r="W165">
        <f t="shared" si="28"/>
        <v>-1.8690819267188144E-2</v>
      </c>
      <c r="X165">
        <f t="shared" si="34"/>
        <v>25.096169952094524</v>
      </c>
      <c r="Z165" s="2">
        <f t="shared" si="35"/>
        <v>113.73096617392143</v>
      </c>
      <c r="AA165" s="3">
        <f t="shared" si="29"/>
        <v>-2.1545055657211654E-3</v>
      </c>
    </row>
    <row r="166" spans="1:27" x14ac:dyDescent="0.3">
      <c r="A166" s="1">
        <v>45947</v>
      </c>
      <c r="B166" s="2">
        <v>1441.1</v>
      </c>
      <c r="C166" s="4">
        <f t="shared" si="24"/>
        <v>-2.0659191301393199E-2</v>
      </c>
      <c r="D166" s="4">
        <f t="shared" si="30"/>
        <v>13.885790398458314</v>
      </c>
      <c r="E166" s="4"/>
      <c r="F166" s="1">
        <v>45937</v>
      </c>
      <c r="G166">
        <v>870</v>
      </c>
      <c r="H166">
        <f t="shared" si="25"/>
        <v>-4.6336021966706196E-3</v>
      </c>
      <c r="I166">
        <f t="shared" si="31"/>
        <v>32.135246483875569</v>
      </c>
      <c r="K166" s="1">
        <v>45953</v>
      </c>
      <c r="L166" s="2">
        <v>1689.9</v>
      </c>
      <c r="M166" s="2">
        <f t="shared" si="26"/>
        <v>-3.5492457852700918E-4</v>
      </c>
      <c r="N166" s="2">
        <f t="shared" si="32"/>
        <v>14.36030349013658</v>
      </c>
      <c r="O166" s="2"/>
      <c r="P166" s="1">
        <v>45954</v>
      </c>
      <c r="Q166" s="2">
        <v>16274</v>
      </c>
      <c r="R166">
        <f t="shared" si="27"/>
        <v>-7.2591959982919538E-3</v>
      </c>
      <c r="S166">
        <f t="shared" si="33"/>
        <v>27.603993344425959</v>
      </c>
      <c r="U166" s="1">
        <v>45957</v>
      </c>
      <c r="V166" s="2">
        <v>12015</v>
      </c>
      <c r="W166">
        <f t="shared" si="28"/>
        <v>8.1389494881691556E-3</v>
      </c>
      <c r="X166">
        <f t="shared" si="34"/>
        <v>25.30042641168113</v>
      </c>
      <c r="Z166" s="2">
        <f t="shared" si="35"/>
        <v>113.28576012857755</v>
      </c>
      <c r="AA166" s="3">
        <f t="shared" si="29"/>
        <v>-3.9145543234290203E-3</v>
      </c>
    </row>
    <row r="167" spans="1:27" x14ac:dyDescent="0.3">
      <c r="A167" s="1">
        <v>45950</v>
      </c>
      <c r="B167" s="2">
        <v>1460.9</v>
      </c>
      <c r="C167" s="4">
        <f t="shared" si="24"/>
        <v>1.3739504545139256E-2</v>
      </c>
      <c r="D167" s="4">
        <f t="shared" si="30"/>
        <v>14.076574278750781</v>
      </c>
      <c r="E167" s="4"/>
      <c r="F167" s="1">
        <v>45937</v>
      </c>
      <c r="G167">
        <v>864.7</v>
      </c>
      <c r="H167">
        <f t="shared" si="25"/>
        <v>-6.0919540229884533E-3</v>
      </c>
      <c r="I167">
        <f t="shared" si="31"/>
        <v>31.939480039778399</v>
      </c>
      <c r="K167" s="1">
        <v>45954</v>
      </c>
      <c r="L167" s="2">
        <v>1699</v>
      </c>
      <c r="M167" s="2">
        <f t="shared" si="26"/>
        <v>5.3849340197644289E-3</v>
      </c>
      <c r="N167" s="2">
        <f t="shared" si="32"/>
        <v>14.437632776934759</v>
      </c>
      <c r="O167" s="2"/>
      <c r="P167" s="1">
        <v>45957</v>
      </c>
      <c r="Q167" s="2">
        <v>16388</v>
      </c>
      <c r="R167">
        <f t="shared" si="27"/>
        <v>7.0050387120560399E-3</v>
      </c>
      <c r="S167">
        <f t="shared" si="33"/>
        <v>27.797360386410997</v>
      </c>
      <c r="U167" s="1">
        <v>45958</v>
      </c>
      <c r="V167" s="2">
        <v>11931</v>
      </c>
      <c r="W167">
        <f t="shared" si="28"/>
        <v>-6.9912609238451939E-3</v>
      </c>
      <c r="X167">
        <f t="shared" si="34"/>
        <v>25.123544529152525</v>
      </c>
      <c r="Z167" s="2">
        <f t="shared" si="35"/>
        <v>113.37459201102746</v>
      </c>
      <c r="AA167" s="3">
        <f t="shared" si="29"/>
        <v>7.8413988085612729E-4</v>
      </c>
    </row>
    <row r="168" spans="1:27" x14ac:dyDescent="0.3">
      <c r="A168" s="1">
        <v>45950</v>
      </c>
      <c r="B168" s="2">
        <v>1460.9</v>
      </c>
      <c r="C168" s="4">
        <f t="shared" si="24"/>
        <v>0</v>
      </c>
      <c r="D168" s="4">
        <f t="shared" si="30"/>
        <v>14.076574278750781</v>
      </c>
      <c r="E168" s="4"/>
      <c r="F168" s="1">
        <v>45938</v>
      </c>
      <c r="G168">
        <v>861.5</v>
      </c>
      <c r="H168">
        <f t="shared" si="25"/>
        <v>-3.700705446975882E-3</v>
      </c>
      <c r="I168">
        <f t="shared" si="31"/>
        <v>31.821281432021614</v>
      </c>
      <c r="K168" s="1">
        <v>45957</v>
      </c>
      <c r="L168" s="2">
        <v>1693.6</v>
      </c>
      <c r="M168" s="2">
        <f t="shared" si="26"/>
        <v>-3.17834020011777E-3</v>
      </c>
      <c r="N168" s="2">
        <f t="shared" si="32"/>
        <v>14.391745068285289</v>
      </c>
      <c r="O168" s="2"/>
      <c r="P168" s="1">
        <v>45958</v>
      </c>
      <c r="Q168" s="2">
        <v>16311</v>
      </c>
      <c r="R168">
        <f t="shared" si="27"/>
        <v>-4.6985599218940686E-3</v>
      </c>
      <c r="S168">
        <f t="shared" si="33"/>
        <v>27.666752822964959</v>
      </c>
      <c r="U168" s="1">
        <v>45959</v>
      </c>
      <c r="V168" s="2">
        <v>11999</v>
      </c>
      <c r="W168">
        <f t="shared" si="28"/>
        <v>5.6994384376833455E-3</v>
      </c>
      <c r="X168">
        <f t="shared" si="34"/>
        <v>25.266734624532827</v>
      </c>
      <c r="Z168" s="2">
        <f t="shared" si="35"/>
        <v>113.22308822655548</v>
      </c>
      <c r="AA168" s="3">
        <f t="shared" si="29"/>
        <v>-1.3363116178380929E-3</v>
      </c>
    </row>
    <row r="169" spans="1:27" x14ac:dyDescent="0.3">
      <c r="A169" s="1">
        <v>45951</v>
      </c>
      <c r="B169" s="2">
        <v>1472.4</v>
      </c>
      <c r="C169" s="4">
        <f t="shared" si="24"/>
        <v>7.8718598124443828E-3</v>
      </c>
      <c r="D169" s="4">
        <f t="shared" si="30"/>
        <v>14.187383098112567</v>
      </c>
      <c r="E169" s="4"/>
      <c r="F169" s="1">
        <v>45938</v>
      </c>
      <c r="G169">
        <v>858.25</v>
      </c>
      <c r="H169">
        <f t="shared" si="25"/>
        <v>-3.7724898432965758E-3</v>
      </c>
      <c r="I169">
        <f t="shared" si="31"/>
        <v>31.70123597101863</v>
      </c>
      <c r="K169" s="1">
        <v>45958</v>
      </c>
      <c r="L169" s="2">
        <v>1687</v>
      </c>
      <c r="M169" s="2">
        <f t="shared" si="26"/>
        <v>-3.8970240906943255E-3</v>
      </c>
      <c r="N169" s="2">
        <f t="shared" si="32"/>
        <v>14.33566009104705</v>
      </c>
      <c r="O169" s="2"/>
      <c r="P169" s="1">
        <v>45959</v>
      </c>
      <c r="Q169" s="2">
        <v>16138</v>
      </c>
      <c r="R169">
        <f t="shared" si="27"/>
        <v>-1.0606339280240329E-2</v>
      </c>
      <c r="S169">
        <f t="shared" si="33"/>
        <v>27.373309855742047</v>
      </c>
      <c r="U169" s="1">
        <v>45960</v>
      </c>
      <c r="V169" s="2">
        <v>12053</v>
      </c>
      <c r="W169">
        <f t="shared" si="28"/>
        <v>4.5003750312526047E-3</v>
      </c>
      <c r="X169">
        <f t="shared" si="34"/>
        <v>25.380444406158361</v>
      </c>
      <c r="Z169" s="2">
        <f t="shared" si="35"/>
        <v>112.97803342207865</v>
      </c>
      <c r="AA169" s="3">
        <f t="shared" si="29"/>
        <v>-2.1643536518495265E-3</v>
      </c>
    </row>
    <row r="170" spans="1:27" x14ac:dyDescent="0.3">
      <c r="A170" s="1">
        <v>45953</v>
      </c>
      <c r="B170" s="2">
        <v>1528.5</v>
      </c>
      <c r="C170" s="4">
        <f t="shared" si="24"/>
        <v>3.8101059494702459E-2</v>
      </c>
      <c r="D170" s="4">
        <f t="shared" si="30"/>
        <v>14.727937425607891</v>
      </c>
      <c r="E170" s="4"/>
      <c r="F170" s="1">
        <v>45939</v>
      </c>
      <c r="G170">
        <v>862.1</v>
      </c>
      <c r="H170">
        <f t="shared" si="25"/>
        <v>4.4858724147975792E-3</v>
      </c>
      <c r="I170">
        <f t="shared" si="31"/>
        <v>31.843443670976011</v>
      </c>
      <c r="K170" s="1">
        <v>45959</v>
      </c>
      <c r="L170" s="2">
        <v>1715.9</v>
      </c>
      <c r="M170" s="2">
        <f t="shared" si="26"/>
        <v>1.7131001778304736E-2</v>
      </c>
      <c r="N170" s="2">
        <f t="shared" si="32"/>
        <v>14.581244309559951</v>
      </c>
      <c r="O170" s="2"/>
      <c r="P170" s="1">
        <v>45960</v>
      </c>
      <c r="Q170" s="2">
        <v>16206</v>
      </c>
      <c r="R170">
        <f t="shared" si="27"/>
        <v>4.2136572065931341E-3</v>
      </c>
      <c r="S170">
        <f t="shared" si="33"/>
        <v>27.488651600084001</v>
      </c>
      <c r="U170" s="1">
        <v>45961</v>
      </c>
      <c r="V170" s="2">
        <v>11947</v>
      </c>
      <c r="W170">
        <f t="shared" si="28"/>
        <v>-8.7944909980917606E-3</v>
      </c>
      <c r="X170">
        <f t="shared" si="34"/>
        <v>25.157236316300835</v>
      </c>
      <c r="Z170" s="2">
        <f t="shared" si="35"/>
        <v>113.79851332252869</v>
      </c>
      <c r="AA170" s="3">
        <f t="shared" si="29"/>
        <v>7.2622958251076231E-3</v>
      </c>
    </row>
    <row r="171" spans="1:27" x14ac:dyDescent="0.3">
      <c r="A171" s="1">
        <v>45953</v>
      </c>
      <c r="B171" s="2">
        <v>1528.5</v>
      </c>
      <c r="C171" s="4">
        <f t="shared" si="24"/>
        <v>0</v>
      </c>
      <c r="D171" s="4">
        <f t="shared" si="30"/>
        <v>14.727937425607891</v>
      </c>
      <c r="E171" s="4"/>
      <c r="F171" s="1">
        <v>45940</v>
      </c>
      <c r="G171">
        <v>880.65</v>
      </c>
      <c r="H171">
        <f t="shared" si="25"/>
        <v>2.1517225379886269E-2</v>
      </c>
      <c r="I171">
        <f t="shared" si="31"/>
        <v>32.528626225316117</v>
      </c>
      <c r="K171" s="1">
        <v>45960</v>
      </c>
      <c r="L171" s="2">
        <v>1703.4</v>
      </c>
      <c r="M171" s="2">
        <f t="shared" si="26"/>
        <v>-7.2848068069234799E-3</v>
      </c>
      <c r="N171" s="2">
        <f t="shared" si="32"/>
        <v>14.475022761760254</v>
      </c>
      <c r="O171" s="2"/>
      <c r="P171" s="1">
        <v>45961</v>
      </c>
      <c r="Q171" s="2">
        <v>16186</v>
      </c>
      <c r="R171">
        <f t="shared" si="27"/>
        <v>-1.2341108231519191E-3</v>
      </c>
      <c r="S171">
        <f t="shared" si="33"/>
        <v>27.454727557630484</v>
      </c>
      <c r="U171" s="1">
        <v>45964</v>
      </c>
      <c r="V171" s="2">
        <v>11950</v>
      </c>
      <c r="W171">
        <f t="shared" si="28"/>
        <v>2.5110906503724784E-4</v>
      </c>
      <c r="X171">
        <f t="shared" si="34"/>
        <v>25.163553526391141</v>
      </c>
      <c r="Z171" s="2">
        <f t="shared" si="35"/>
        <v>114.3498674967059</v>
      </c>
      <c r="AA171" s="3">
        <f t="shared" si="29"/>
        <v>4.8450033140112758E-3</v>
      </c>
    </row>
    <row r="172" spans="1:27" x14ac:dyDescent="0.3">
      <c r="A172" s="1">
        <v>45954</v>
      </c>
      <c r="B172" s="2">
        <v>1525.4</v>
      </c>
      <c r="C172" s="4">
        <f t="shared" si="24"/>
        <v>-2.028132155708151E-3</v>
      </c>
      <c r="D172" s="4">
        <f t="shared" si="30"/>
        <v>14.698067222127758</v>
      </c>
      <c r="E172" s="4"/>
      <c r="F172" s="1">
        <v>45940</v>
      </c>
      <c r="G172">
        <v>880.65</v>
      </c>
      <c r="H172">
        <f t="shared" si="25"/>
        <v>0</v>
      </c>
      <c r="I172">
        <f t="shared" si="31"/>
        <v>32.528626225316117</v>
      </c>
      <c r="K172" s="1">
        <v>45961</v>
      </c>
      <c r="L172" s="2">
        <v>1690.7</v>
      </c>
      <c r="M172" s="2">
        <f t="shared" si="26"/>
        <v>-7.4556768815310821E-3</v>
      </c>
      <c r="N172" s="2">
        <f t="shared" si="32"/>
        <v>14.367101669195762</v>
      </c>
      <c r="O172" s="2"/>
      <c r="P172" s="1">
        <v>45964</v>
      </c>
      <c r="Q172" s="2">
        <v>15651</v>
      </c>
      <c r="R172">
        <f t="shared" si="27"/>
        <v>-3.305325590016063E-2</v>
      </c>
      <c r="S172">
        <f t="shared" si="33"/>
        <v>26.54725942199893</v>
      </c>
      <c r="U172" s="1">
        <v>45965</v>
      </c>
      <c r="V172" s="2">
        <v>11819</v>
      </c>
      <c r="W172">
        <f t="shared" si="28"/>
        <v>-1.096234309623431E-2</v>
      </c>
      <c r="X172">
        <f t="shared" si="34"/>
        <v>24.887702019114382</v>
      </c>
      <c r="Z172" s="2">
        <f t="shared" si="35"/>
        <v>113.02875655775296</v>
      </c>
      <c r="AA172" s="3">
        <f t="shared" si="29"/>
        <v>-1.1553235415782126E-2</v>
      </c>
    </row>
    <row r="173" spans="1:27" x14ac:dyDescent="0.3">
      <c r="A173" s="1">
        <v>45957</v>
      </c>
      <c r="B173" s="2">
        <v>1504.5</v>
      </c>
      <c r="C173" s="4">
        <f t="shared" si="24"/>
        <v>-1.3701324242821614E-2</v>
      </c>
      <c r="D173" s="4">
        <f t="shared" si="30"/>
        <v>14.496684237374597</v>
      </c>
      <c r="E173" s="4"/>
      <c r="F173" s="1">
        <v>45943</v>
      </c>
      <c r="G173">
        <v>882.95</v>
      </c>
      <c r="H173">
        <f t="shared" si="25"/>
        <v>2.61170726168179E-3</v>
      </c>
      <c r="I173">
        <f t="shared" si="31"/>
        <v>32.613581474641308</v>
      </c>
      <c r="K173" s="1">
        <v>45964</v>
      </c>
      <c r="L173" s="2">
        <v>1706.4</v>
      </c>
      <c r="M173" s="2">
        <f t="shared" si="26"/>
        <v>9.2860945170639645E-3</v>
      </c>
      <c r="N173" s="2">
        <f t="shared" si="32"/>
        <v>14.50051593323218</v>
      </c>
      <c r="O173" s="2"/>
      <c r="P173" s="1">
        <v>45965</v>
      </c>
      <c r="Q173" s="2">
        <v>15374</v>
      </c>
      <c r="R173">
        <f t="shared" si="27"/>
        <v>-1.7698549613443231E-2</v>
      </c>
      <c r="S173">
        <f t="shared" si="33"/>
        <v>26.077411434017733</v>
      </c>
      <c r="U173" s="1">
        <v>45967</v>
      </c>
      <c r="V173" s="2">
        <v>11910</v>
      </c>
      <c r="W173">
        <f t="shared" si="28"/>
        <v>7.6994669599796941E-3</v>
      </c>
      <c r="X173">
        <f t="shared" si="34"/>
        <v>25.079324058520374</v>
      </c>
      <c r="Z173" s="2">
        <f t="shared" si="35"/>
        <v>112.76751713778619</v>
      </c>
      <c r="AA173" s="3">
        <f t="shared" si="29"/>
        <v>-2.3112650968011295E-3</v>
      </c>
    </row>
    <row r="174" spans="1:27" x14ac:dyDescent="0.3">
      <c r="A174" s="1">
        <v>45958</v>
      </c>
      <c r="B174" s="2">
        <v>1500.2</v>
      </c>
      <c r="C174" s="4">
        <f t="shared" si="24"/>
        <v>-2.8580923894981421E-3</v>
      </c>
      <c r="D174" s="4">
        <f t="shared" si="30"/>
        <v>14.455251374482797</v>
      </c>
      <c r="E174" s="4"/>
      <c r="F174" s="1">
        <v>45943</v>
      </c>
      <c r="G174">
        <v>882.95</v>
      </c>
      <c r="H174">
        <f t="shared" si="25"/>
        <v>0</v>
      </c>
      <c r="I174">
        <f t="shared" si="31"/>
        <v>32.613581474641308</v>
      </c>
      <c r="K174" s="1">
        <v>45965</v>
      </c>
      <c r="L174" s="2">
        <v>1690</v>
      </c>
      <c r="M174" s="2">
        <f t="shared" si="26"/>
        <v>-9.610876699484348E-3</v>
      </c>
      <c r="N174" s="2">
        <f t="shared" si="32"/>
        <v>14.361153262518977</v>
      </c>
      <c r="O174" s="2"/>
      <c r="P174" s="1">
        <v>45967</v>
      </c>
      <c r="Q174" s="2">
        <v>15452</v>
      </c>
      <c r="R174">
        <f t="shared" si="27"/>
        <v>5.0735007154936902E-3</v>
      </c>
      <c r="S174">
        <f t="shared" si="33"/>
        <v>26.209715199586444</v>
      </c>
      <c r="U174" s="1">
        <v>45968</v>
      </c>
      <c r="V174" s="2">
        <v>11849</v>
      </c>
      <c r="W174">
        <f t="shared" si="28"/>
        <v>-5.1217464315701094E-3</v>
      </c>
      <c r="X174">
        <f t="shared" si="34"/>
        <v>24.950874120017456</v>
      </c>
      <c r="Z174" s="2">
        <f t="shared" si="35"/>
        <v>112.59057543124699</v>
      </c>
      <c r="AA174" s="3">
        <f t="shared" si="29"/>
        <v>-1.5690839971496118E-3</v>
      </c>
    </row>
    <row r="175" spans="1:27" x14ac:dyDescent="0.3">
      <c r="A175" s="1">
        <v>45959</v>
      </c>
      <c r="B175" s="2">
        <v>1510.4</v>
      </c>
      <c r="C175" s="4">
        <f t="shared" si="24"/>
        <v>6.7990934542061362E-3</v>
      </c>
      <c r="D175" s="4">
        <f t="shared" si="30"/>
        <v>14.553533979481948</v>
      </c>
      <c r="E175" s="4"/>
      <c r="F175" s="1">
        <v>45944</v>
      </c>
      <c r="G175">
        <v>876.95</v>
      </c>
      <c r="H175">
        <f t="shared" si="25"/>
        <v>-6.7954017781301319E-3</v>
      </c>
      <c r="I175">
        <f t="shared" si="31"/>
        <v>32.391959085097341</v>
      </c>
      <c r="K175" s="1">
        <v>45967</v>
      </c>
      <c r="L175" s="2">
        <v>1685.9</v>
      </c>
      <c r="M175" s="2">
        <f t="shared" si="26"/>
        <v>-2.426035502958526E-3</v>
      </c>
      <c r="N175" s="2">
        <f t="shared" si="32"/>
        <v>14.326312594840678</v>
      </c>
      <c r="O175" s="2"/>
      <c r="P175" s="1">
        <v>45968</v>
      </c>
      <c r="Q175" s="2">
        <v>15479</v>
      </c>
      <c r="R175">
        <f t="shared" si="27"/>
        <v>1.7473466217965312E-3</v>
      </c>
      <c r="S175">
        <f t="shared" si="33"/>
        <v>26.255512656898691</v>
      </c>
      <c r="U175" s="1">
        <v>45971</v>
      </c>
      <c r="V175" s="2">
        <v>11728</v>
      </c>
      <c r="W175">
        <f t="shared" si="28"/>
        <v>-1.021183222212845E-2</v>
      </c>
      <c r="X175">
        <f t="shared" si="34"/>
        <v>24.696079979708394</v>
      </c>
      <c r="Z175" s="2">
        <f t="shared" si="35"/>
        <v>112.22339829602706</v>
      </c>
      <c r="AA175" s="3">
        <f t="shared" si="29"/>
        <v>-3.2611711398894405E-3</v>
      </c>
    </row>
    <row r="176" spans="1:27" x14ac:dyDescent="0.3">
      <c r="A176" s="1">
        <v>45960</v>
      </c>
      <c r="B176" s="2">
        <v>1493.8</v>
      </c>
      <c r="C176" s="4">
        <f t="shared" si="24"/>
        <v>-1.0990466101695006E-2</v>
      </c>
      <c r="D176" s="4">
        <f t="shared" si="30"/>
        <v>14.393583857620586</v>
      </c>
      <c r="E176" s="4"/>
      <c r="F176" s="1">
        <v>45945</v>
      </c>
      <c r="G176">
        <v>886.1</v>
      </c>
      <c r="H176">
        <f t="shared" si="25"/>
        <v>1.0433890187581934E-2</v>
      </c>
      <c r="I176">
        <f t="shared" si="31"/>
        <v>32.729933229151897</v>
      </c>
      <c r="K176" s="1">
        <v>45968</v>
      </c>
      <c r="L176" s="2">
        <v>1691.4</v>
      </c>
      <c r="M176" s="2">
        <f t="shared" si="26"/>
        <v>3.2623524526958891E-3</v>
      </c>
      <c r="N176" s="2">
        <f t="shared" si="32"/>
        <v>14.373050075872543</v>
      </c>
      <c r="O176" s="2"/>
      <c r="P176" s="1">
        <v>45971</v>
      </c>
      <c r="Q176" s="2">
        <v>15583</v>
      </c>
      <c r="R176">
        <f t="shared" si="27"/>
        <v>6.7187802829640157E-3</v>
      </c>
      <c r="S176">
        <f t="shared" si="33"/>
        <v>26.431917677656976</v>
      </c>
      <c r="U176" s="1">
        <v>45972</v>
      </c>
      <c r="V176" s="2">
        <v>11825</v>
      </c>
      <c r="W176">
        <f t="shared" si="28"/>
        <v>8.270804911323329E-3</v>
      </c>
      <c r="X176">
        <f t="shared" si="34"/>
        <v>24.900336439295</v>
      </c>
      <c r="Z176" s="2">
        <f t="shared" si="35"/>
        <v>112.82882127959699</v>
      </c>
      <c r="AA176" s="3">
        <f t="shared" si="29"/>
        <v>5.3948017326379549E-3</v>
      </c>
    </row>
    <row r="177" spans="1:27" x14ac:dyDescent="0.3">
      <c r="A177" s="1">
        <v>45961</v>
      </c>
      <c r="B177" s="2">
        <v>1482.3</v>
      </c>
      <c r="C177" s="4">
        <f t="shared" si="24"/>
        <v>-7.6984870799303795E-3</v>
      </c>
      <c r="D177" s="4">
        <f t="shared" si="30"/>
        <v>14.2827750382588</v>
      </c>
      <c r="E177" s="4"/>
      <c r="F177" s="1">
        <v>45945</v>
      </c>
      <c r="G177">
        <v>886.1</v>
      </c>
      <c r="H177">
        <f t="shared" si="25"/>
        <v>0</v>
      </c>
      <c r="I177">
        <f t="shared" si="31"/>
        <v>32.729933229151897</v>
      </c>
      <c r="K177" s="1">
        <v>45971</v>
      </c>
      <c r="L177" s="2">
        <v>1697.8</v>
      </c>
      <c r="M177" s="2">
        <f t="shared" si="26"/>
        <v>3.783847700129989E-3</v>
      </c>
      <c r="N177" s="2">
        <f t="shared" si="32"/>
        <v>14.427435508345987</v>
      </c>
      <c r="O177" s="2"/>
      <c r="P177" s="1">
        <v>45972</v>
      </c>
      <c r="Q177" s="2">
        <v>15645</v>
      </c>
      <c r="R177">
        <f t="shared" si="27"/>
        <v>3.9786947314381059E-3</v>
      </c>
      <c r="S177">
        <f t="shared" si="33"/>
        <v>26.537082209262877</v>
      </c>
      <c r="U177" s="1">
        <v>45973</v>
      </c>
      <c r="V177" s="2">
        <v>11921</v>
      </c>
      <c r="W177">
        <f t="shared" si="28"/>
        <v>8.1183932346723039E-3</v>
      </c>
      <c r="X177">
        <f t="shared" si="34"/>
        <v>25.102487162184836</v>
      </c>
      <c r="Z177" s="2">
        <f t="shared" si="35"/>
        <v>113.07971314720439</v>
      </c>
      <c r="AA177" s="3">
        <f t="shared" si="29"/>
        <v>2.2236505244139781E-3</v>
      </c>
    </row>
    <row r="178" spans="1:27" x14ac:dyDescent="0.3">
      <c r="A178" s="1">
        <v>45964</v>
      </c>
      <c r="B178" s="2">
        <v>1485.5</v>
      </c>
      <c r="C178" s="4">
        <f t="shared" si="24"/>
        <v>2.1588072589894393E-3</v>
      </c>
      <c r="D178" s="4">
        <f t="shared" si="30"/>
        <v>14.313608796689907</v>
      </c>
      <c r="E178" s="4"/>
      <c r="F178" s="1">
        <v>45946</v>
      </c>
      <c r="G178">
        <v>886.95</v>
      </c>
      <c r="H178">
        <f t="shared" si="25"/>
        <v>9.5925967723735773E-4</v>
      </c>
      <c r="I178">
        <f t="shared" si="31"/>
        <v>32.761329734337295</v>
      </c>
      <c r="K178" s="1">
        <v>45972</v>
      </c>
      <c r="L178" s="2">
        <v>1716.1</v>
      </c>
      <c r="M178" s="2">
        <f t="shared" si="26"/>
        <v>1.077865472965011E-2</v>
      </c>
      <c r="N178" s="2">
        <f t="shared" si="32"/>
        <v>14.582943854324741</v>
      </c>
      <c r="O178" s="2"/>
      <c r="P178" s="1">
        <v>45973</v>
      </c>
      <c r="Q178" s="2">
        <v>15696</v>
      </c>
      <c r="R178">
        <f t="shared" si="27"/>
        <v>3.2598274209012464E-3</v>
      </c>
      <c r="S178">
        <f t="shared" si="33"/>
        <v>26.623588517519345</v>
      </c>
      <c r="U178" s="1">
        <v>45974</v>
      </c>
      <c r="V178" s="2">
        <v>11934</v>
      </c>
      <c r="W178">
        <f t="shared" si="28"/>
        <v>1.0905125408942203E-3</v>
      </c>
      <c r="X178">
        <f t="shared" si="34"/>
        <v>25.129861739242834</v>
      </c>
      <c r="Z178" s="2">
        <f t="shared" si="35"/>
        <v>113.41133264211413</v>
      </c>
      <c r="AA178" s="3">
        <f t="shared" si="29"/>
        <v>2.9326170511065897E-3</v>
      </c>
    </row>
    <row r="179" spans="1:27" x14ac:dyDescent="0.3">
      <c r="A179" s="1">
        <v>45965</v>
      </c>
      <c r="B179" s="2">
        <v>1467.9</v>
      </c>
      <c r="C179" s="4">
        <f t="shared" si="24"/>
        <v>-1.184786267250078E-2</v>
      </c>
      <c r="D179" s="4">
        <f t="shared" si="30"/>
        <v>14.144023125318826</v>
      </c>
      <c r="E179" s="4"/>
      <c r="F179" s="1">
        <v>45946</v>
      </c>
      <c r="G179">
        <v>886.95</v>
      </c>
      <c r="H179">
        <f t="shared" si="25"/>
        <v>0</v>
      </c>
      <c r="I179">
        <f t="shared" si="31"/>
        <v>32.761329734337295</v>
      </c>
      <c r="K179" s="1">
        <v>45973</v>
      </c>
      <c r="L179" s="2">
        <v>1732.1</v>
      </c>
      <c r="M179" s="2">
        <f t="shared" si="26"/>
        <v>9.3234659984849366E-3</v>
      </c>
      <c r="N179" s="2">
        <f t="shared" si="32"/>
        <v>14.718907435508351</v>
      </c>
      <c r="O179" s="2"/>
      <c r="P179" s="1">
        <v>45974</v>
      </c>
      <c r="Q179" s="2">
        <v>15749</v>
      </c>
      <c r="R179">
        <f t="shared" si="27"/>
        <v>3.3766564729867483E-3</v>
      </c>
      <c r="S179">
        <f t="shared" si="33"/>
        <v>26.713487230021162</v>
      </c>
      <c r="U179" s="1">
        <v>45975</v>
      </c>
      <c r="V179" s="2">
        <v>11874</v>
      </c>
      <c r="W179">
        <f t="shared" si="28"/>
        <v>-5.0276520864756162E-3</v>
      </c>
      <c r="X179">
        <f t="shared" si="34"/>
        <v>25.003517537436686</v>
      </c>
      <c r="Z179" s="2">
        <f t="shared" si="35"/>
        <v>113.34126506262231</v>
      </c>
      <c r="AA179" s="3">
        <f t="shared" si="29"/>
        <v>-6.1781814797057244E-4</v>
      </c>
    </row>
    <row r="180" spans="1:27" x14ac:dyDescent="0.3">
      <c r="A180" s="1">
        <v>45967</v>
      </c>
      <c r="B180" s="2">
        <v>1466.7</v>
      </c>
      <c r="C180" s="4">
        <f t="shared" si="24"/>
        <v>-8.1749437972617031E-4</v>
      </c>
      <c r="D180" s="4">
        <f t="shared" si="30"/>
        <v>14.13246046590716</v>
      </c>
      <c r="E180" s="4"/>
      <c r="F180" s="1">
        <v>45947</v>
      </c>
      <c r="G180">
        <v>889.15</v>
      </c>
      <c r="H180">
        <f t="shared" si="25"/>
        <v>2.4804103951743973E-3</v>
      </c>
      <c r="I180">
        <f t="shared" si="31"/>
        <v>32.842591277170079</v>
      </c>
      <c r="K180" s="1">
        <v>45974</v>
      </c>
      <c r="L180" s="2">
        <v>1737.4</v>
      </c>
      <c r="M180" s="2">
        <f t="shared" si="26"/>
        <v>3.0598695225449927E-3</v>
      </c>
      <c r="N180" s="2">
        <f t="shared" si="32"/>
        <v>14.763945371775424</v>
      </c>
      <c r="O180" s="2"/>
      <c r="P180" s="1">
        <v>45975</v>
      </c>
      <c r="Q180" s="2">
        <v>15684</v>
      </c>
      <c r="R180">
        <f t="shared" si="27"/>
        <v>-4.1272461743602764E-3</v>
      </c>
      <c r="S180">
        <f t="shared" si="33"/>
        <v>26.603234092047238</v>
      </c>
      <c r="U180" s="1">
        <v>45978</v>
      </c>
      <c r="V180" s="2">
        <v>11778</v>
      </c>
      <c r="W180">
        <f t="shared" si="28"/>
        <v>-8.0848913592723604E-3</v>
      </c>
      <c r="X180">
        <f t="shared" si="34"/>
        <v>24.801366814546849</v>
      </c>
      <c r="Z180" s="2">
        <f t="shared" si="35"/>
        <v>113.14359802144675</v>
      </c>
      <c r="AA180" s="3">
        <f t="shared" si="29"/>
        <v>-1.7439988963097175E-3</v>
      </c>
    </row>
    <row r="181" spans="1:27" x14ac:dyDescent="0.3">
      <c r="A181" s="1">
        <v>45968</v>
      </c>
      <c r="B181" s="2">
        <v>1476.8</v>
      </c>
      <c r="C181" s="4">
        <f t="shared" si="24"/>
        <v>6.8862071316560369E-3</v>
      </c>
      <c r="D181" s="4">
        <f t="shared" si="30"/>
        <v>14.229779515955336</v>
      </c>
      <c r="E181" s="4"/>
      <c r="F181" s="1">
        <v>45950</v>
      </c>
      <c r="G181">
        <v>907.5</v>
      </c>
      <c r="H181">
        <f t="shared" si="25"/>
        <v>2.0637687679244249E-2</v>
      </c>
      <c r="I181">
        <f t="shared" si="31"/>
        <v>33.520386418525383</v>
      </c>
      <c r="K181" s="1">
        <v>45975</v>
      </c>
      <c r="L181" s="2">
        <v>1757.1</v>
      </c>
      <c r="M181" s="2">
        <f t="shared" si="26"/>
        <v>1.1338782088177632E-2</v>
      </c>
      <c r="N181" s="2">
        <f t="shared" si="32"/>
        <v>14.931350531107745</v>
      </c>
      <c r="O181" s="2"/>
      <c r="P181" s="1">
        <v>45978</v>
      </c>
      <c r="Q181" s="2">
        <v>15878</v>
      </c>
      <c r="R181">
        <f t="shared" si="27"/>
        <v>1.2369293547564397E-2</v>
      </c>
      <c r="S181">
        <f t="shared" si="33"/>
        <v>26.93229730384634</v>
      </c>
      <c r="U181" s="1">
        <v>45979</v>
      </c>
      <c r="V181" s="2">
        <v>11707</v>
      </c>
      <c r="W181">
        <f t="shared" si="28"/>
        <v>-6.0281881473934458E-3</v>
      </c>
      <c r="X181">
        <f t="shared" si="34"/>
        <v>24.651859509076239</v>
      </c>
      <c r="Z181" s="2">
        <f t="shared" si="35"/>
        <v>114.26567327851106</v>
      </c>
      <c r="AA181" s="3">
        <f t="shared" si="29"/>
        <v>9.9172668775444617E-3</v>
      </c>
    </row>
    <row r="182" spans="1:27" x14ac:dyDescent="0.3">
      <c r="A182" s="1">
        <v>45971</v>
      </c>
      <c r="B182" s="2">
        <v>1513.5</v>
      </c>
      <c r="C182" s="4">
        <f t="shared" si="24"/>
        <v>2.4851029252437734E-2</v>
      </c>
      <c r="D182" s="4">
        <f t="shared" si="30"/>
        <v>14.583404182962081</v>
      </c>
      <c r="E182" s="4"/>
      <c r="F182" s="1">
        <v>45950</v>
      </c>
      <c r="G182">
        <v>907.5</v>
      </c>
      <c r="H182">
        <f t="shared" si="25"/>
        <v>0</v>
      </c>
      <c r="I182">
        <f t="shared" si="31"/>
        <v>33.520386418525383</v>
      </c>
      <c r="K182" s="1">
        <v>45978</v>
      </c>
      <c r="L182" s="2">
        <v>1763.9</v>
      </c>
      <c r="M182" s="2">
        <f t="shared" si="26"/>
        <v>3.87001308975026E-3</v>
      </c>
      <c r="N182" s="2">
        <f t="shared" si="32"/>
        <v>14.989135053110781</v>
      </c>
      <c r="O182" s="2"/>
      <c r="P182" s="1">
        <v>45979</v>
      </c>
      <c r="Q182" s="2">
        <v>15930</v>
      </c>
      <c r="R182">
        <f t="shared" si="27"/>
        <v>3.2749716588991056E-3</v>
      </c>
      <c r="S182">
        <f t="shared" si="33"/>
        <v>27.020499814225481</v>
      </c>
      <c r="U182" s="1">
        <v>45980</v>
      </c>
      <c r="V182" s="2">
        <v>11666</v>
      </c>
      <c r="W182">
        <f t="shared" si="28"/>
        <v>-3.502178183992483E-3</v>
      </c>
      <c r="X182">
        <f t="shared" si="34"/>
        <v>24.565524304508706</v>
      </c>
      <c r="Z182" s="2">
        <f t="shared" si="35"/>
        <v>114.67894977333242</v>
      </c>
      <c r="AA182" s="3">
        <f t="shared" si="29"/>
        <v>3.6168035680674837E-3</v>
      </c>
    </row>
    <row r="183" spans="1:27" x14ac:dyDescent="0.3">
      <c r="A183" s="1">
        <v>45972</v>
      </c>
      <c r="B183" s="2">
        <v>1530.3</v>
      </c>
      <c r="C183" s="4">
        <f t="shared" si="24"/>
        <v>1.1100099108027721E-2</v>
      </c>
      <c r="D183" s="4">
        <f t="shared" si="30"/>
        <v>14.745281414725385</v>
      </c>
      <c r="E183" s="4"/>
      <c r="F183" s="1">
        <v>45951</v>
      </c>
      <c r="G183">
        <v>907.85</v>
      </c>
      <c r="H183">
        <f t="shared" si="25"/>
        <v>3.8567493112950165E-4</v>
      </c>
      <c r="I183">
        <f t="shared" si="31"/>
        <v>33.53331439124878</v>
      </c>
      <c r="K183" s="1">
        <v>45979</v>
      </c>
      <c r="L183" s="2">
        <v>1763.9</v>
      </c>
      <c r="M183" s="2">
        <f t="shared" si="26"/>
        <v>0</v>
      </c>
      <c r="N183" s="2">
        <f t="shared" si="32"/>
        <v>14.989135053110781</v>
      </c>
      <c r="O183" s="2"/>
      <c r="P183" s="1">
        <v>45980</v>
      </c>
      <c r="Q183" s="2">
        <v>15768</v>
      </c>
      <c r="R183">
        <f t="shared" si="27"/>
        <v>-1.0169491525423728E-2</v>
      </c>
      <c r="S183">
        <f t="shared" si="33"/>
        <v>26.745715070352002</v>
      </c>
      <c r="U183" s="1">
        <v>45981</v>
      </c>
      <c r="V183" s="2">
        <v>11753</v>
      </c>
      <c r="W183">
        <f t="shared" si="28"/>
        <v>7.4575690039430827E-3</v>
      </c>
      <c r="X183">
        <f t="shared" si="34"/>
        <v>24.748723397127623</v>
      </c>
      <c r="Z183" s="2">
        <f t="shared" si="35"/>
        <v>114.76216932656456</v>
      </c>
      <c r="AA183" s="3">
        <f t="shared" si="29"/>
        <v>7.2567418341917822E-4</v>
      </c>
    </row>
    <row r="184" spans="1:27" x14ac:dyDescent="0.3">
      <c r="A184" s="1">
        <v>45973</v>
      </c>
      <c r="B184" s="2">
        <v>1551.7</v>
      </c>
      <c r="C184" s="4">
        <f t="shared" si="24"/>
        <v>1.3984186107299281E-2</v>
      </c>
      <c r="D184" s="4">
        <f t="shared" si="30"/>
        <v>14.951482174233407</v>
      </c>
      <c r="E184" s="4"/>
      <c r="F184" s="1">
        <v>45953</v>
      </c>
      <c r="G184">
        <v>911.55</v>
      </c>
      <c r="H184">
        <f t="shared" si="25"/>
        <v>4.0755631436910633E-3</v>
      </c>
      <c r="I184">
        <f t="shared" si="31"/>
        <v>33.669981531467556</v>
      </c>
      <c r="K184" s="1">
        <v>45979</v>
      </c>
      <c r="L184" s="2">
        <v>1758.8</v>
      </c>
      <c r="M184" s="2">
        <f t="shared" si="26"/>
        <v>-2.8913203696355441E-3</v>
      </c>
      <c r="N184" s="2">
        <f t="shared" si="32"/>
        <v>14.945796661608503</v>
      </c>
      <c r="O184" s="2"/>
      <c r="P184" s="1">
        <v>45981</v>
      </c>
      <c r="Q184" s="2">
        <v>15801</v>
      </c>
      <c r="R184">
        <f t="shared" si="27"/>
        <v>2.0928462709284626E-3</v>
      </c>
      <c r="S184">
        <f t="shared" si="33"/>
        <v>26.801689740400302</v>
      </c>
      <c r="U184" s="1">
        <v>45982</v>
      </c>
      <c r="V184" s="2">
        <v>11729</v>
      </c>
      <c r="W184">
        <f t="shared" si="28"/>
        <v>-2.0420318216625541E-3</v>
      </c>
      <c r="X184">
        <f t="shared" si="34"/>
        <v>24.698185716405163</v>
      </c>
      <c r="Z184" s="2">
        <f t="shared" si="35"/>
        <v>115.06713582411493</v>
      </c>
      <c r="AA184" s="3">
        <f t="shared" si="29"/>
        <v>2.6573782923409173E-3</v>
      </c>
    </row>
    <row r="185" spans="1:27" x14ac:dyDescent="0.3">
      <c r="A185" s="1">
        <v>45974</v>
      </c>
      <c r="B185" s="2">
        <v>1541.8</v>
      </c>
      <c r="C185" s="4">
        <f t="shared" si="24"/>
        <v>-6.3800992459883297E-3</v>
      </c>
      <c r="D185" s="4">
        <f t="shared" si="30"/>
        <v>14.856090234087171</v>
      </c>
      <c r="E185" s="4"/>
      <c r="F185" s="1">
        <v>45954</v>
      </c>
      <c r="G185">
        <v>904.5</v>
      </c>
      <c r="H185">
        <f t="shared" si="25"/>
        <v>-7.734079315451654E-3</v>
      </c>
      <c r="I185">
        <f t="shared" si="31"/>
        <v>33.409575223753393</v>
      </c>
      <c r="K185" s="1">
        <v>45980</v>
      </c>
      <c r="L185" s="2">
        <v>1784.1</v>
      </c>
      <c r="M185" s="2">
        <f t="shared" si="26"/>
        <v>1.4384807823516008E-2</v>
      </c>
      <c r="N185" s="2">
        <f t="shared" si="32"/>
        <v>15.160789074355089</v>
      </c>
      <c r="O185" s="2"/>
      <c r="P185" s="1">
        <v>45982</v>
      </c>
      <c r="Q185" s="2">
        <v>15977</v>
      </c>
      <c r="R185">
        <f t="shared" si="27"/>
        <v>1.1138535535725587E-2</v>
      </c>
      <c r="S185">
        <f t="shared" si="33"/>
        <v>27.100221313991245</v>
      </c>
      <c r="U185" s="1">
        <v>45985</v>
      </c>
      <c r="V185" s="2">
        <v>11584</v>
      </c>
      <c r="W185">
        <f t="shared" si="28"/>
        <v>-1.236252024895558E-2</v>
      </c>
      <c r="X185">
        <f t="shared" si="34"/>
        <v>24.392853895373641</v>
      </c>
      <c r="Z185" s="2">
        <f t="shared" si="35"/>
        <v>114.91952974156052</v>
      </c>
      <c r="AA185" s="3">
        <f t="shared" si="29"/>
        <v>-1.2827822774699182E-3</v>
      </c>
    </row>
    <row r="186" spans="1:27" x14ac:dyDescent="0.3">
      <c r="A186" s="1">
        <v>45975</v>
      </c>
      <c r="B186" s="2">
        <v>1502.8</v>
      </c>
      <c r="C186" s="4">
        <f t="shared" si="24"/>
        <v>-2.5295109612141653E-2</v>
      </c>
      <c r="D186" s="4">
        <f t="shared" si="30"/>
        <v>14.480303803208068</v>
      </c>
      <c r="E186" s="4"/>
      <c r="F186" s="1">
        <v>45957</v>
      </c>
      <c r="G186">
        <v>922.75</v>
      </c>
      <c r="H186">
        <f t="shared" si="25"/>
        <v>2.0176893311221668E-2</v>
      </c>
      <c r="I186">
        <f t="shared" si="31"/>
        <v>34.083676658616298</v>
      </c>
      <c r="K186" s="1">
        <v>45981</v>
      </c>
      <c r="L186" s="2">
        <v>1777.4</v>
      </c>
      <c r="M186" s="2">
        <f t="shared" si="26"/>
        <v>-3.7553948769686778E-3</v>
      </c>
      <c r="N186" s="2">
        <f t="shared" si="32"/>
        <v>15.103854324734453</v>
      </c>
      <c r="O186" s="2"/>
      <c r="P186" s="1">
        <v>45985</v>
      </c>
      <c r="Q186" s="2">
        <v>15958</v>
      </c>
      <c r="R186">
        <f t="shared" si="27"/>
        <v>-1.1892094886399199E-3</v>
      </c>
      <c r="S186">
        <f t="shared" si="33"/>
        <v>27.067993473660405</v>
      </c>
      <c r="U186" s="1">
        <v>45986</v>
      </c>
      <c r="V186" s="2">
        <v>11580</v>
      </c>
      <c r="W186">
        <f t="shared" si="28"/>
        <v>-3.453038674033149E-4</v>
      </c>
      <c r="X186">
        <f t="shared" si="34"/>
        <v>24.384430948586566</v>
      </c>
      <c r="Z186" s="2">
        <f t="shared" si="35"/>
        <v>115.12025920880579</v>
      </c>
      <c r="AA186" s="3">
        <f t="shared" si="29"/>
        <v>1.7466958635898866E-3</v>
      </c>
    </row>
    <row r="187" spans="1:27" x14ac:dyDescent="0.3">
      <c r="A187" s="1">
        <v>45978</v>
      </c>
      <c r="B187" s="2">
        <v>1507.6</v>
      </c>
      <c r="C187" s="4">
        <f t="shared" si="24"/>
        <v>3.1940377961138904E-3</v>
      </c>
      <c r="D187" s="4">
        <f t="shared" si="30"/>
        <v>14.526554440854728</v>
      </c>
      <c r="E187" s="4"/>
      <c r="F187" s="1">
        <v>45957</v>
      </c>
      <c r="G187">
        <v>922.75</v>
      </c>
      <c r="H187">
        <f t="shared" si="25"/>
        <v>0</v>
      </c>
      <c r="I187">
        <f t="shared" si="31"/>
        <v>34.083676658616298</v>
      </c>
      <c r="K187" s="1">
        <v>45982</v>
      </c>
      <c r="L187" s="2">
        <v>1779.7</v>
      </c>
      <c r="M187" s="2">
        <f t="shared" si="26"/>
        <v>1.2940249803082898E-3</v>
      </c>
      <c r="N187" s="2">
        <f t="shared" si="32"/>
        <v>15.123399089529599</v>
      </c>
      <c r="O187" s="2"/>
      <c r="P187" s="1">
        <v>45986</v>
      </c>
      <c r="Q187" s="2">
        <v>15889</v>
      </c>
      <c r="R187">
        <f t="shared" si="27"/>
        <v>-4.3238501065296399E-3</v>
      </c>
      <c r="S187">
        <f t="shared" si="33"/>
        <v>26.950955527195774</v>
      </c>
      <c r="U187" s="1">
        <v>45987</v>
      </c>
      <c r="V187" s="2">
        <v>11759</v>
      </c>
      <c r="W187">
        <f t="shared" si="28"/>
        <v>1.545768566493955E-2</v>
      </c>
      <c r="X187">
        <f t="shared" si="34"/>
        <v>24.761357817308241</v>
      </c>
      <c r="Z187" s="2">
        <f t="shared" si="35"/>
        <v>115.44594353350463</v>
      </c>
      <c r="AA187" s="3">
        <f t="shared" si="29"/>
        <v>2.829079146773994E-3</v>
      </c>
    </row>
    <row r="188" spans="1:27" x14ac:dyDescent="0.3">
      <c r="A188" s="1">
        <v>45979</v>
      </c>
      <c r="B188" s="2">
        <v>1486.4</v>
      </c>
      <c r="C188" s="4">
        <f t="shared" si="24"/>
        <v>-1.4062085433801949E-2</v>
      </c>
      <c r="D188" s="4">
        <f t="shared" si="30"/>
        <v>14.322280791248653</v>
      </c>
      <c r="E188" s="4"/>
      <c r="F188" s="1">
        <v>45958</v>
      </c>
      <c r="G188">
        <v>930.25</v>
      </c>
      <c r="H188">
        <f t="shared" si="25"/>
        <v>8.1278786236792192E-3</v>
      </c>
      <c r="I188">
        <f t="shared" si="31"/>
        <v>34.360704645546257</v>
      </c>
      <c r="K188" s="1">
        <v>45985</v>
      </c>
      <c r="L188" s="2">
        <v>1780.8</v>
      </c>
      <c r="M188" s="2">
        <f t="shared" si="26"/>
        <v>6.1808169916272916E-4</v>
      </c>
      <c r="N188" s="2">
        <f t="shared" si="32"/>
        <v>15.132746585735973</v>
      </c>
      <c r="O188" s="2"/>
      <c r="P188" s="1">
        <v>45987</v>
      </c>
      <c r="Q188" s="2">
        <v>16156</v>
      </c>
      <c r="R188">
        <f t="shared" si="27"/>
        <v>1.6804078293158789E-2</v>
      </c>
      <c r="S188">
        <f t="shared" si="33"/>
        <v>27.403841493950214</v>
      </c>
      <c r="U188" s="1">
        <v>45988</v>
      </c>
      <c r="V188" s="2">
        <v>11617</v>
      </c>
      <c r="W188">
        <f t="shared" si="28"/>
        <v>-1.2075856790543413E-2</v>
      </c>
      <c r="X188">
        <f t="shared" si="34"/>
        <v>24.462343206367024</v>
      </c>
      <c r="Z188" s="2">
        <f t="shared" si="35"/>
        <v>115.68191672284811</v>
      </c>
      <c r="AA188" s="3">
        <f t="shared" si="29"/>
        <v>2.0440145588571657E-3</v>
      </c>
    </row>
    <row r="189" spans="1:27" x14ac:dyDescent="0.3">
      <c r="A189" s="1">
        <v>45980</v>
      </c>
      <c r="B189" s="2">
        <v>1541.1</v>
      </c>
      <c r="C189" s="4">
        <f t="shared" si="24"/>
        <v>3.6800322927879318E-2</v>
      </c>
      <c r="D189" s="4">
        <f t="shared" si="30"/>
        <v>14.849345349430367</v>
      </c>
      <c r="E189" s="4"/>
      <c r="F189" s="1">
        <v>45959</v>
      </c>
      <c r="G189">
        <v>939.75</v>
      </c>
      <c r="H189">
        <f t="shared" si="25"/>
        <v>1.0212308519215264E-2</v>
      </c>
      <c r="I189">
        <f t="shared" si="31"/>
        <v>34.711606762324202</v>
      </c>
      <c r="K189" s="1">
        <v>45986</v>
      </c>
      <c r="L189" s="2">
        <v>1776.8</v>
      </c>
      <c r="M189" s="2">
        <f t="shared" si="26"/>
        <v>-2.2461814914645105E-3</v>
      </c>
      <c r="N189" s="2">
        <f t="shared" si="32"/>
        <v>15.09875569044007</v>
      </c>
      <c r="O189" s="2"/>
      <c r="P189" s="1">
        <v>45988</v>
      </c>
      <c r="Q189" s="2">
        <v>15903</v>
      </c>
      <c r="R189">
        <f t="shared" si="27"/>
        <v>-1.5659816786333252E-2</v>
      </c>
      <c r="S189">
        <f t="shared" si="33"/>
        <v>26.974702356913237</v>
      </c>
      <c r="U189" s="1">
        <v>45989</v>
      </c>
      <c r="V189" s="2">
        <v>11600</v>
      </c>
      <c r="W189">
        <f t="shared" si="28"/>
        <v>-1.4633726435396401E-3</v>
      </c>
      <c r="X189">
        <f t="shared" si="34"/>
        <v>24.426545682521947</v>
      </c>
      <c r="Z189" s="2">
        <f t="shared" si="35"/>
        <v>116.06095584162982</v>
      </c>
      <c r="AA189" s="3">
        <f t="shared" si="29"/>
        <v>3.2765632651974297E-3</v>
      </c>
    </row>
    <row r="190" spans="1:27" x14ac:dyDescent="0.3">
      <c r="A190" s="1">
        <v>45981</v>
      </c>
      <c r="B190" s="2">
        <v>1536.5</v>
      </c>
      <c r="C190" s="4">
        <f t="shared" si="24"/>
        <v>-2.9848809292063521E-3</v>
      </c>
      <c r="D190" s="4">
        <f t="shared" si="30"/>
        <v>14.805021821685653</v>
      </c>
      <c r="E190" s="4"/>
      <c r="F190" s="1">
        <v>45960</v>
      </c>
      <c r="G190">
        <v>934.35</v>
      </c>
      <c r="H190">
        <f t="shared" si="25"/>
        <v>-5.7462090981643815E-3</v>
      </c>
      <c r="I190">
        <f t="shared" si="31"/>
        <v>34.512146611734629</v>
      </c>
      <c r="K190" s="1">
        <v>45987</v>
      </c>
      <c r="L190" s="2">
        <v>1804.9</v>
      </c>
      <c r="M190" s="2">
        <f t="shared" si="26"/>
        <v>1.5814948221521914E-2</v>
      </c>
      <c r="N190" s="2">
        <f t="shared" si="32"/>
        <v>15.33754172989379</v>
      </c>
      <c r="O190" s="2"/>
      <c r="P190" s="1">
        <v>45989</v>
      </c>
      <c r="Q190" s="2">
        <v>15900</v>
      </c>
      <c r="R190">
        <f t="shared" si="27"/>
        <v>-1.8864365214110544E-4</v>
      </c>
      <c r="S190">
        <f t="shared" si="33"/>
        <v>26.969613750545211</v>
      </c>
      <c r="U190" s="1">
        <v>45992</v>
      </c>
      <c r="V190" s="2">
        <v>11662</v>
      </c>
      <c r="W190">
        <f t="shared" si="28"/>
        <v>5.3448275862068963E-3</v>
      </c>
      <c r="X190">
        <f t="shared" si="34"/>
        <v>24.557101357721635</v>
      </c>
      <c r="Z190" s="2">
        <f t="shared" si="35"/>
        <v>116.18142527158091</v>
      </c>
      <c r="AA190" s="3">
        <f t="shared" si="29"/>
        <v>1.0379841271983548E-3</v>
      </c>
    </row>
    <row r="191" spans="1:27" x14ac:dyDescent="0.3">
      <c r="A191" s="1">
        <v>45982</v>
      </c>
      <c r="B191" s="2">
        <v>1545</v>
      </c>
      <c r="C191" s="4">
        <f t="shared" si="24"/>
        <v>5.5320533680442568E-3</v>
      </c>
      <c r="D191" s="4">
        <f t="shared" si="30"/>
        <v>14.886923992518279</v>
      </c>
      <c r="E191" s="4"/>
      <c r="F191" s="1">
        <v>45960</v>
      </c>
      <c r="G191">
        <v>934.35</v>
      </c>
      <c r="H191">
        <f t="shared" si="25"/>
        <v>0</v>
      </c>
      <c r="I191">
        <f t="shared" si="31"/>
        <v>34.512146611734629</v>
      </c>
      <c r="K191" s="1">
        <v>45988</v>
      </c>
      <c r="L191" s="2">
        <v>1810.3</v>
      </c>
      <c r="M191" s="2">
        <f t="shared" si="26"/>
        <v>2.9918555044600053E-3</v>
      </c>
      <c r="N191" s="2">
        <f t="shared" si="32"/>
        <v>15.383429438543256</v>
      </c>
      <c r="O191" s="2"/>
      <c r="P191" s="1">
        <v>45992</v>
      </c>
      <c r="Q191" s="2">
        <v>16097</v>
      </c>
      <c r="R191">
        <f t="shared" si="27"/>
        <v>1.2389937106918238E-2</v>
      </c>
      <c r="S191">
        <f t="shared" si="33"/>
        <v>27.303765568712343</v>
      </c>
      <c r="U191" s="1">
        <v>45993</v>
      </c>
      <c r="V191" s="2">
        <v>11666</v>
      </c>
      <c r="W191">
        <f t="shared" si="28"/>
        <v>3.4299434059338022E-4</v>
      </c>
      <c r="X191">
        <f t="shared" si="34"/>
        <v>24.565524304508713</v>
      </c>
      <c r="Z191" s="2">
        <f t="shared" si="35"/>
        <v>116.65178991601722</v>
      </c>
      <c r="AA191" s="3">
        <f t="shared" si="29"/>
        <v>4.048535670283071E-3</v>
      </c>
    </row>
    <row r="192" spans="1:27" x14ac:dyDescent="0.3">
      <c r="A192" s="1">
        <v>45985</v>
      </c>
      <c r="B192" s="2">
        <v>1548</v>
      </c>
      <c r="C192" s="4">
        <f t="shared" si="24"/>
        <v>1.9417475728155339E-3</v>
      </c>
      <c r="D192" s="4">
        <f t="shared" si="30"/>
        <v>14.915830641047442</v>
      </c>
      <c r="E192" s="4"/>
      <c r="F192" s="1">
        <v>45961</v>
      </c>
      <c r="G192">
        <v>937</v>
      </c>
      <c r="H192">
        <f t="shared" si="25"/>
        <v>2.8361962861882346E-3</v>
      </c>
      <c r="I192">
        <f t="shared" si="31"/>
        <v>34.610029833783216</v>
      </c>
      <c r="K192" s="1">
        <v>45989</v>
      </c>
      <c r="L192" s="2">
        <v>1831.6</v>
      </c>
      <c r="M192" s="2">
        <f t="shared" si="26"/>
        <v>1.1766005634425208E-2</v>
      </c>
      <c r="N192" s="2">
        <f t="shared" si="32"/>
        <v>15.56443095599394</v>
      </c>
      <c r="O192" s="2"/>
      <c r="P192" s="1">
        <v>45993</v>
      </c>
      <c r="Q192" s="2">
        <v>16239</v>
      </c>
      <c r="R192">
        <f t="shared" si="27"/>
        <v>8.8215195378020753E-3</v>
      </c>
      <c r="S192">
        <f t="shared" si="33"/>
        <v>27.544626270132309</v>
      </c>
      <c r="U192" s="1">
        <v>45994</v>
      </c>
      <c r="V192" s="2">
        <v>11591</v>
      </c>
      <c r="W192">
        <f t="shared" si="28"/>
        <v>-6.4289387965026576E-3</v>
      </c>
      <c r="X192">
        <f t="shared" si="34"/>
        <v>24.407594052251028</v>
      </c>
      <c r="Z192" s="2">
        <f t="shared" si="35"/>
        <v>117.04251175320793</v>
      </c>
      <c r="AA192" s="3">
        <f t="shared" si="29"/>
        <v>3.3494714266451009E-3</v>
      </c>
    </row>
    <row r="193" spans="1:27" x14ac:dyDescent="0.3">
      <c r="A193" s="1">
        <v>45986</v>
      </c>
      <c r="B193" s="2">
        <v>1530.6</v>
      </c>
      <c r="C193" s="4">
        <f t="shared" si="24"/>
        <v>-1.1240310077519439E-2</v>
      </c>
      <c r="D193" s="4">
        <f t="shared" si="30"/>
        <v>14.748172079578303</v>
      </c>
      <c r="E193" s="4"/>
      <c r="F193" s="1">
        <v>45961</v>
      </c>
      <c r="G193">
        <v>937</v>
      </c>
      <c r="H193">
        <f t="shared" si="25"/>
        <v>0</v>
      </c>
      <c r="I193">
        <f t="shared" si="31"/>
        <v>34.610029833783216</v>
      </c>
      <c r="K193" s="1">
        <v>45992</v>
      </c>
      <c r="L193" s="2">
        <v>1807.4</v>
      </c>
      <c r="M193" s="2">
        <f t="shared" si="26"/>
        <v>-1.3212491810438862E-2</v>
      </c>
      <c r="N193" s="2">
        <f t="shared" si="32"/>
        <v>15.358786039453729</v>
      </c>
      <c r="O193" s="2"/>
      <c r="P193" s="1">
        <v>45994</v>
      </c>
      <c r="Q193" s="2">
        <v>16082</v>
      </c>
      <c r="R193">
        <f t="shared" si="27"/>
        <v>-9.6680830100375637E-3</v>
      </c>
      <c r="S193">
        <f t="shared" si="33"/>
        <v>27.27832253687221</v>
      </c>
      <c r="U193" s="1">
        <v>45995</v>
      </c>
      <c r="V193" s="2">
        <v>11608</v>
      </c>
      <c r="W193">
        <f t="shared" si="28"/>
        <v>1.4666551634889139E-3</v>
      </c>
      <c r="X193">
        <f t="shared" si="34"/>
        <v>24.443391576096104</v>
      </c>
      <c r="Z193" s="2">
        <f t="shared" si="35"/>
        <v>116.43870206578356</v>
      </c>
      <c r="AA193" s="3">
        <f t="shared" si="29"/>
        <v>-5.1588920844209962E-3</v>
      </c>
    </row>
    <row r="194" spans="1:27" x14ac:dyDescent="0.3">
      <c r="A194" s="1">
        <v>45987</v>
      </c>
      <c r="B194" s="2">
        <v>1557.9</v>
      </c>
      <c r="C194" s="4">
        <f t="shared" si="24"/>
        <v>1.7836142689141632E-2</v>
      </c>
      <c r="D194" s="4">
        <f t="shared" si="30"/>
        <v>15.011222581193676</v>
      </c>
      <c r="E194" s="4"/>
      <c r="F194" s="1">
        <v>45964</v>
      </c>
      <c r="G194">
        <v>949.7</v>
      </c>
      <c r="H194">
        <f t="shared" si="25"/>
        <v>1.3553895410885855E-2</v>
      </c>
      <c r="I194">
        <f t="shared" si="31"/>
        <v>35.079130558317949</v>
      </c>
      <c r="K194" s="1">
        <v>45993</v>
      </c>
      <c r="L194" s="2">
        <v>1799.5</v>
      </c>
      <c r="M194" s="2">
        <f t="shared" si="26"/>
        <v>-4.3709195529490373E-3</v>
      </c>
      <c r="N194" s="2">
        <f t="shared" si="32"/>
        <v>15.291654021244321</v>
      </c>
      <c r="O194" s="2"/>
      <c r="P194" s="1">
        <v>45995</v>
      </c>
      <c r="Q194" s="2">
        <v>15994</v>
      </c>
      <c r="R194">
        <f t="shared" si="27"/>
        <v>-5.4719562243502051E-3</v>
      </c>
      <c r="S194">
        <f t="shared" si="33"/>
        <v>27.129056750076742</v>
      </c>
      <c r="U194" s="1">
        <v>45996</v>
      </c>
      <c r="V194" s="2">
        <v>11597</v>
      </c>
      <c r="W194">
        <f t="shared" si="28"/>
        <v>-9.4762232942798073E-4</v>
      </c>
      <c r="X194">
        <f t="shared" si="34"/>
        <v>24.420228472431642</v>
      </c>
      <c r="Z194" s="2">
        <f t="shared" si="35"/>
        <v>116.93129238326433</v>
      </c>
      <c r="AA194" s="3">
        <f t="shared" si="29"/>
        <v>4.2304689827483699E-3</v>
      </c>
    </row>
    <row r="195" spans="1:27" x14ac:dyDescent="0.3">
      <c r="A195" s="1">
        <v>45988</v>
      </c>
      <c r="B195" s="2">
        <v>1566.4</v>
      </c>
      <c r="C195" s="4">
        <f t="shared" si="24"/>
        <v>5.4560626484369979E-3</v>
      </c>
      <c r="D195" s="4">
        <f t="shared" si="30"/>
        <v>15.093124752026302</v>
      </c>
      <c r="E195" s="4"/>
      <c r="F195" s="1">
        <v>45965</v>
      </c>
      <c r="G195">
        <v>957.6</v>
      </c>
      <c r="H195">
        <f t="shared" si="25"/>
        <v>8.318416342002713E-3</v>
      </c>
      <c r="I195">
        <f t="shared" si="31"/>
        <v>35.370933371217511</v>
      </c>
      <c r="K195" s="1">
        <v>45994</v>
      </c>
      <c r="L195" s="2">
        <v>1806.7</v>
      </c>
      <c r="M195" s="2">
        <f t="shared" si="26"/>
        <v>4.0011114198388693E-3</v>
      </c>
      <c r="N195" s="2">
        <f t="shared" si="32"/>
        <v>15.352837632776946</v>
      </c>
      <c r="O195" s="2"/>
      <c r="P195" s="1">
        <v>45996</v>
      </c>
      <c r="Q195" s="2">
        <v>16282</v>
      </c>
      <c r="R195">
        <f t="shared" si="27"/>
        <v>1.8006752532199573E-2</v>
      </c>
      <c r="S195">
        <f t="shared" si="33"/>
        <v>27.617562961407373</v>
      </c>
      <c r="U195" s="1">
        <v>45999</v>
      </c>
      <c r="V195" s="2">
        <v>11540</v>
      </c>
      <c r="W195">
        <f t="shared" si="28"/>
        <v>-4.9150642407519186E-3</v>
      </c>
      <c r="X195">
        <f t="shared" si="34"/>
        <v>24.300201480715799</v>
      </c>
      <c r="Z195" s="2">
        <f t="shared" si="35"/>
        <v>117.73466019814393</v>
      </c>
      <c r="AA195" s="3">
        <f t="shared" si="29"/>
        <v>6.8704262007674988E-3</v>
      </c>
    </row>
    <row r="196" spans="1:27" x14ac:dyDescent="0.3">
      <c r="A196" s="1">
        <v>45989</v>
      </c>
      <c r="B196" s="2">
        <v>1560.1</v>
      </c>
      <c r="C196" s="4">
        <f t="shared" si="24"/>
        <v>-4.0219611848826492E-3</v>
      </c>
      <c r="D196" s="4">
        <f t="shared" si="30"/>
        <v>15.032420790115061</v>
      </c>
      <c r="E196" s="4"/>
      <c r="F196" s="1">
        <v>45967</v>
      </c>
      <c r="G196">
        <v>960.75</v>
      </c>
      <c r="H196">
        <f t="shared" si="25"/>
        <v>3.2894736842105023E-3</v>
      </c>
      <c r="I196">
        <f t="shared" si="31"/>
        <v>35.487285125728093</v>
      </c>
      <c r="K196" s="1">
        <v>45995</v>
      </c>
      <c r="L196" s="2">
        <v>1818.3</v>
      </c>
      <c r="M196" s="2">
        <f t="shared" si="26"/>
        <v>6.4205457463883927E-3</v>
      </c>
      <c r="N196" s="2">
        <f t="shared" si="32"/>
        <v>15.451411229135065</v>
      </c>
      <c r="O196" s="2"/>
      <c r="P196" s="1">
        <v>45999</v>
      </c>
      <c r="Q196" s="2">
        <v>16187</v>
      </c>
      <c r="R196">
        <f t="shared" si="27"/>
        <v>-5.8346640461859724E-3</v>
      </c>
      <c r="S196">
        <f t="shared" si="33"/>
        <v>27.456423759753172</v>
      </c>
      <c r="U196" s="1">
        <v>46000</v>
      </c>
      <c r="V196" s="2">
        <v>11414</v>
      </c>
      <c r="W196">
        <f t="shared" si="28"/>
        <v>-1.0918544194107453E-2</v>
      </c>
      <c r="X196">
        <f t="shared" si="34"/>
        <v>24.034878656922888</v>
      </c>
      <c r="Z196" s="2">
        <f t="shared" si="35"/>
        <v>117.46241956165427</v>
      </c>
      <c r="AA196" s="3">
        <f t="shared" si="29"/>
        <v>-2.3123236269717573E-3</v>
      </c>
    </row>
    <row r="197" spans="1:27" x14ac:dyDescent="0.3">
      <c r="A197" s="1">
        <v>45992</v>
      </c>
      <c r="B197" s="2">
        <v>1564</v>
      </c>
      <c r="C197" s="4">
        <f t="shared" si="24"/>
        <v>2.4998397538619904E-3</v>
      </c>
      <c r="D197" s="4">
        <f t="shared" si="30"/>
        <v>15.069999433202973</v>
      </c>
      <c r="E197" s="4"/>
      <c r="F197" s="1">
        <v>45968</v>
      </c>
      <c r="G197">
        <v>955.85</v>
      </c>
      <c r="H197">
        <f t="shared" si="25"/>
        <v>-5.1001821493624538E-3</v>
      </c>
      <c r="I197">
        <f t="shared" si="31"/>
        <v>35.306293507600515</v>
      </c>
      <c r="K197" s="1">
        <v>45996</v>
      </c>
      <c r="L197" s="2">
        <v>1805.3</v>
      </c>
      <c r="M197" s="2">
        <f t="shared" si="26"/>
        <v>-7.1495352802067869E-3</v>
      </c>
      <c r="N197" s="2">
        <f t="shared" si="32"/>
        <v>15.340940819423381</v>
      </c>
      <c r="O197" s="2"/>
      <c r="P197" s="1">
        <v>46000</v>
      </c>
      <c r="Q197" s="2">
        <v>16020</v>
      </c>
      <c r="R197">
        <f t="shared" si="27"/>
        <v>-1.0316920985976401E-2</v>
      </c>
      <c r="S197">
        <f t="shared" si="33"/>
        <v>27.173158005266313</v>
      </c>
      <c r="U197" s="1">
        <v>46001</v>
      </c>
      <c r="V197" s="2">
        <v>11317</v>
      </c>
      <c r="W197">
        <f t="shared" si="28"/>
        <v>-8.4983353776064488E-3</v>
      </c>
      <c r="X197">
        <f t="shared" si="34"/>
        <v>23.830622197336282</v>
      </c>
      <c r="Z197" s="2">
        <f t="shared" si="35"/>
        <v>116.72101396282946</v>
      </c>
      <c r="AA197" s="3">
        <f t="shared" si="29"/>
        <v>-6.3118536259646474E-3</v>
      </c>
    </row>
    <row r="198" spans="1:27" x14ac:dyDescent="0.3">
      <c r="A198" s="1">
        <v>45993</v>
      </c>
      <c r="B198" s="2">
        <v>1561</v>
      </c>
      <c r="C198" s="4">
        <f t="shared" ref="C198:C257" si="36">(B198-B197)/B197</f>
        <v>-1.9181585677749361E-3</v>
      </c>
      <c r="D198" s="4">
        <f t="shared" si="30"/>
        <v>15.041092784673813</v>
      </c>
      <c r="E198" s="4"/>
      <c r="F198" s="1">
        <v>45971</v>
      </c>
      <c r="G198">
        <v>951.15</v>
      </c>
      <c r="H198">
        <f t="shared" ref="H198:H261" si="37">(G198-G197)/G197</f>
        <v>-4.9170895014908674E-3</v>
      </c>
      <c r="I198">
        <f t="shared" si="31"/>
        <v>35.132689302457742</v>
      </c>
      <c r="K198" s="1">
        <v>45999</v>
      </c>
      <c r="L198" s="2">
        <v>1796.2</v>
      </c>
      <c r="M198" s="2">
        <f t="shared" ref="M198:M253" si="38">(L198-L197)/L197</f>
        <v>-5.0407134548274019E-3</v>
      </c>
      <c r="N198" s="2">
        <f t="shared" si="32"/>
        <v>15.263611532625202</v>
      </c>
      <c r="O198" s="2"/>
      <c r="P198" s="1">
        <v>46001</v>
      </c>
      <c r="Q198" s="2">
        <v>16019</v>
      </c>
      <c r="R198">
        <f t="shared" ref="R198:R251" si="39">(Q198-Q197)/Q197</f>
        <v>-6.2421972534332083E-5</v>
      </c>
      <c r="S198">
        <f t="shared" si="33"/>
        <v>27.171461803143636</v>
      </c>
      <c r="U198" s="1">
        <v>46002</v>
      </c>
      <c r="V198" s="2">
        <v>11472</v>
      </c>
      <c r="W198">
        <f t="shared" ref="W198:W250" si="40">(V198-V197)/V197</f>
        <v>1.3696209242732172E-2</v>
      </c>
      <c r="X198">
        <f t="shared" si="34"/>
        <v>24.157011385335498</v>
      </c>
      <c r="Z198" s="2">
        <f t="shared" si="35"/>
        <v>116.7658668082359</v>
      </c>
      <c r="AA198" s="3">
        <f t="shared" ref="AA198:AA250" si="41">Z198/Z197-1</f>
        <v>3.842739527666339E-4</v>
      </c>
    </row>
    <row r="199" spans="1:27" x14ac:dyDescent="0.3">
      <c r="A199" s="1">
        <v>45994</v>
      </c>
      <c r="B199" s="2">
        <v>1578.7</v>
      </c>
      <c r="C199" s="4">
        <f t="shared" si="36"/>
        <v>1.1338885329916748E-2</v>
      </c>
      <c r="D199" s="4">
        <f t="shared" ref="D199:D257" si="42">D198*(1+C199)</f>
        <v>15.211642010995869</v>
      </c>
      <c r="E199" s="4"/>
      <c r="F199" s="1">
        <v>45972</v>
      </c>
      <c r="G199">
        <v>953.3</v>
      </c>
      <c r="H199">
        <f t="shared" si="37"/>
        <v>2.2604215949113991E-3</v>
      </c>
      <c r="I199">
        <f t="shared" ref="I199:I262" si="43">I198*(1+H199)</f>
        <v>35.212103992044327</v>
      </c>
      <c r="K199" s="1">
        <v>46000</v>
      </c>
      <c r="L199" s="2">
        <v>1776</v>
      </c>
      <c r="M199" s="2">
        <f t="shared" si="38"/>
        <v>-1.124596370114689E-2</v>
      </c>
      <c r="N199" s="2">
        <f t="shared" ref="N199:N253" si="44">N198*(1+M199)</f>
        <v>15.09195751138089</v>
      </c>
      <c r="O199" s="2"/>
      <c r="P199" s="1">
        <v>46002</v>
      </c>
      <c r="Q199" s="2">
        <v>16248</v>
      </c>
      <c r="R199">
        <f t="shared" si="39"/>
        <v>1.4295524065172607E-2</v>
      </c>
      <c r="S199">
        <f t="shared" ref="S199:S251" si="45">S198*(1+R199)</f>
        <v>27.559892089236392</v>
      </c>
      <c r="U199" s="1">
        <v>46003</v>
      </c>
      <c r="V199" s="2">
        <v>11723</v>
      </c>
      <c r="W199">
        <f t="shared" si="40"/>
        <v>2.1879358437935845E-2</v>
      </c>
      <c r="X199">
        <f t="shared" ref="X199:X250" si="46">X198*(1+W199)</f>
        <v>24.685551296224549</v>
      </c>
      <c r="Z199" s="2">
        <f t="shared" ref="Z199:Z250" si="47">D199+I199+N199+S199+X199</f>
        <v>117.76114689988204</v>
      </c>
      <c r="AA199" s="3">
        <f t="shared" si="41"/>
        <v>8.5237246025047231E-3</v>
      </c>
    </row>
    <row r="200" spans="1:27" x14ac:dyDescent="0.3">
      <c r="A200" s="1">
        <v>45995</v>
      </c>
      <c r="B200" s="2">
        <v>1597.6</v>
      </c>
      <c r="C200" s="4">
        <f t="shared" si="36"/>
        <v>1.1971875593842949E-2</v>
      </c>
      <c r="D200" s="4">
        <f t="shared" si="42"/>
        <v>15.393753896729585</v>
      </c>
      <c r="E200" s="4"/>
      <c r="F200" s="1">
        <v>45973</v>
      </c>
      <c r="G200">
        <v>957.15</v>
      </c>
      <c r="H200">
        <f t="shared" si="37"/>
        <v>4.0386027483478686E-3</v>
      </c>
      <c r="I200">
        <f t="shared" si="43"/>
        <v>35.354311692001708</v>
      </c>
      <c r="K200" s="1">
        <v>46001</v>
      </c>
      <c r="L200" s="2">
        <v>1785.5</v>
      </c>
      <c r="M200" s="2">
        <f t="shared" si="38"/>
        <v>5.3490990990990991E-3</v>
      </c>
      <c r="N200" s="2">
        <f t="shared" si="44"/>
        <v>15.172685887708662</v>
      </c>
      <c r="O200" s="2"/>
      <c r="P200" s="1">
        <v>46003</v>
      </c>
      <c r="Q200" s="2">
        <v>16522</v>
      </c>
      <c r="R200">
        <f t="shared" si="39"/>
        <v>1.6863613983259477E-2</v>
      </c>
      <c r="S200">
        <f t="shared" si="45"/>
        <v>28.024651470849559</v>
      </c>
      <c r="U200" s="1">
        <v>46006</v>
      </c>
      <c r="V200" s="2">
        <v>11728</v>
      </c>
      <c r="W200">
        <f t="shared" si="40"/>
        <v>4.2651198498677815E-4</v>
      </c>
      <c r="X200">
        <f t="shared" si="46"/>
        <v>24.696079979708397</v>
      </c>
      <c r="Z200" s="2">
        <f t="shared" si="47"/>
        <v>118.64148292699792</v>
      </c>
      <c r="AA200" s="3">
        <f t="shared" si="41"/>
        <v>7.4756067709185192E-3</v>
      </c>
    </row>
    <row r="201" spans="1:27" x14ac:dyDescent="0.3">
      <c r="A201" s="1">
        <v>45996</v>
      </c>
      <c r="B201" s="2">
        <v>1616.2</v>
      </c>
      <c r="C201" s="4">
        <f t="shared" si="36"/>
        <v>1.1642463695543401E-2</v>
      </c>
      <c r="D201" s="4">
        <f t="shared" si="42"/>
        <v>15.57297511761039</v>
      </c>
      <c r="E201" s="4"/>
      <c r="F201" s="1">
        <v>45974</v>
      </c>
      <c r="G201">
        <v>954</v>
      </c>
      <c r="H201">
        <f t="shared" si="37"/>
        <v>-3.291020216267019E-3</v>
      </c>
      <c r="I201">
        <f t="shared" si="43"/>
        <v>35.237959937491127</v>
      </c>
      <c r="K201" s="1">
        <v>46002</v>
      </c>
      <c r="L201" s="2">
        <v>1807.2</v>
      </c>
      <c r="M201" s="2">
        <f t="shared" si="38"/>
        <v>1.2153458415009826E-2</v>
      </c>
      <c r="N201" s="2">
        <f t="shared" si="44"/>
        <v>15.357086494688936</v>
      </c>
      <c r="O201" s="2"/>
      <c r="P201" s="1">
        <v>46006</v>
      </c>
      <c r="Q201" s="2">
        <v>16415</v>
      </c>
      <c r="R201">
        <f t="shared" si="39"/>
        <v>-6.4762135334705245E-3</v>
      </c>
      <c r="S201">
        <f t="shared" si="45"/>
        <v>27.843157843723247</v>
      </c>
      <c r="U201" s="1">
        <v>46007</v>
      </c>
      <c r="V201" s="2">
        <v>11528</v>
      </c>
      <c r="W201">
        <f t="shared" si="40"/>
        <v>-1.7053206002728513E-2</v>
      </c>
      <c r="X201">
        <f t="shared" si="46"/>
        <v>24.274932640354571</v>
      </c>
      <c r="Z201" s="2">
        <f t="shared" si="47"/>
        <v>118.28611203386828</v>
      </c>
      <c r="AA201" s="3">
        <f t="shared" si="41"/>
        <v>-2.9953342150006446E-3</v>
      </c>
    </row>
    <row r="202" spans="1:27" x14ac:dyDescent="0.3">
      <c r="A202" s="1">
        <v>45999</v>
      </c>
      <c r="B202" s="2">
        <v>1610.8</v>
      </c>
      <c r="C202" s="4">
        <f t="shared" si="36"/>
        <v>-3.3411706471971852E-3</v>
      </c>
      <c r="D202" s="4">
        <f t="shared" si="42"/>
        <v>15.520943150257898</v>
      </c>
      <c r="E202" s="4"/>
      <c r="F202" s="1">
        <v>45975</v>
      </c>
      <c r="G202">
        <v>967.85</v>
      </c>
      <c r="H202">
        <f t="shared" si="37"/>
        <v>1.4517819706498975E-2</v>
      </c>
      <c r="I202">
        <f t="shared" si="43"/>
        <v>35.749538286688455</v>
      </c>
      <c r="K202" s="1">
        <v>46003</v>
      </c>
      <c r="L202" s="2">
        <v>1793.5</v>
      </c>
      <c r="M202" s="2">
        <f t="shared" si="38"/>
        <v>-7.5807879592740398E-3</v>
      </c>
      <c r="N202" s="2">
        <f t="shared" si="44"/>
        <v>15.240667678300467</v>
      </c>
      <c r="O202" s="2"/>
      <c r="P202" s="1">
        <v>46007</v>
      </c>
      <c r="Q202" s="2">
        <v>16354</v>
      </c>
      <c r="R202">
        <f t="shared" si="39"/>
        <v>-3.7161133109960402E-3</v>
      </c>
      <c r="S202">
        <f t="shared" si="45"/>
        <v>27.739689514240023</v>
      </c>
      <c r="U202" s="1">
        <v>46008</v>
      </c>
      <c r="V202" s="2">
        <v>11540</v>
      </c>
      <c r="W202">
        <f t="shared" si="40"/>
        <v>1.040943789035392E-3</v>
      </c>
      <c r="X202">
        <f t="shared" si="46"/>
        <v>24.300201480715799</v>
      </c>
      <c r="Z202" s="2">
        <f t="shared" si="47"/>
        <v>118.55104011020265</v>
      </c>
      <c r="AA202" s="3">
        <f t="shared" si="41"/>
        <v>2.2397225826351619E-3</v>
      </c>
    </row>
    <row r="203" spans="1:27" x14ac:dyDescent="0.3">
      <c r="A203" s="1">
        <v>46000</v>
      </c>
      <c r="B203" s="2">
        <v>1599</v>
      </c>
      <c r="C203" s="4">
        <f t="shared" si="36"/>
        <v>-7.3255525204866867E-3</v>
      </c>
      <c r="D203" s="4">
        <f t="shared" si="42"/>
        <v>15.407243666043195</v>
      </c>
      <c r="E203" s="4"/>
      <c r="F203" s="1">
        <v>45978</v>
      </c>
      <c r="G203">
        <v>973.35</v>
      </c>
      <c r="H203">
        <f t="shared" si="37"/>
        <v>5.682698765304541E-3</v>
      </c>
      <c r="I203">
        <f t="shared" si="43"/>
        <v>35.952692143770427</v>
      </c>
      <c r="K203" s="1">
        <v>46006</v>
      </c>
      <c r="L203" s="2">
        <v>1797.1</v>
      </c>
      <c r="M203" s="2">
        <f t="shared" si="38"/>
        <v>2.0072483969890767E-3</v>
      </c>
      <c r="N203" s="2">
        <f t="shared" si="44"/>
        <v>15.271259484066778</v>
      </c>
      <c r="O203" s="2"/>
      <c r="P203" s="1">
        <v>46008</v>
      </c>
      <c r="Q203" s="2">
        <v>16398</v>
      </c>
      <c r="R203">
        <f t="shared" si="39"/>
        <v>2.6904732787085728E-3</v>
      </c>
      <c r="S203">
        <f t="shared" si="45"/>
        <v>27.814322407637757</v>
      </c>
      <c r="U203" s="1">
        <v>46009</v>
      </c>
      <c r="V203" s="2">
        <v>11461</v>
      </c>
      <c r="W203">
        <f t="shared" si="40"/>
        <v>-6.845753899480069E-3</v>
      </c>
      <c r="X203">
        <f t="shared" si="46"/>
        <v>24.133848281671039</v>
      </c>
      <c r="Z203" s="2">
        <f t="shared" si="47"/>
        <v>118.57936598318919</v>
      </c>
      <c r="AA203" s="3">
        <f t="shared" si="41"/>
        <v>2.3893398961494228E-4</v>
      </c>
    </row>
    <row r="204" spans="1:27" x14ac:dyDescent="0.3">
      <c r="A204" s="1">
        <v>46001</v>
      </c>
      <c r="B204" s="2">
        <v>1584.8</v>
      </c>
      <c r="C204" s="4">
        <f t="shared" si="36"/>
        <v>-8.8805503439650067E-3</v>
      </c>
      <c r="D204" s="4">
        <f t="shared" si="42"/>
        <v>15.270418863005164</v>
      </c>
      <c r="E204" s="4"/>
      <c r="F204" s="1">
        <v>45979</v>
      </c>
      <c r="G204">
        <v>973.35</v>
      </c>
      <c r="H204">
        <f t="shared" si="37"/>
        <v>0</v>
      </c>
      <c r="I204">
        <f t="shared" si="43"/>
        <v>35.952692143770427</v>
      </c>
      <c r="K204" s="1">
        <v>46007</v>
      </c>
      <c r="L204" s="2">
        <v>1781.3</v>
      </c>
      <c r="M204" s="2">
        <f t="shared" si="38"/>
        <v>-8.7919425741472129E-3</v>
      </c>
      <c r="N204" s="2">
        <f t="shared" si="44"/>
        <v>15.136995447647962</v>
      </c>
      <c r="O204" s="2"/>
      <c r="P204" s="1">
        <v>46009</v>
      </c>
      <c r="Q204" s="2">
        <v>16329</v>
      </c>
      <c r="R204">
        <f t="shared" si="39"/>
        <v>-4.2078302231979507E-3</v>
      </c>
      <c r="S204">
        <f t="shared" si="45"/>
        <v>27.697284461173126</v>
      </c>
      <c r="U204" s="1">
        <v>46010</v>
      </c>
      <c r="V204" s="2">
        <v>11496</v>
      </c>
      <c r="W204">
        <f t="shared" si="40"/>
        <v>3.0538347439141435E-3</v>
      </c>
      <c r="X204">
        <f t="shared" si="46"/>
        <v>24.207549066057961</v>
      </c>
      <c r="Z204" s="2">
        <f t="shared" si="47"/>
        <v>118.26493998165463</v>
      </c>
      <c r="AA204" s="3">
        <f t="shared" si="41"/>
        <v>-2.6516080510932127E-3</v>
      </c>
    </row>
    <row r="205" spans="1:27" x14ac:dyDescent="0.3">
      <c r="A205" s="1">
        <v>46002</v>
      </c>
      <c r="B205" s="2">
        <v>1598</v>
      </c>
      <c r="C205" s="4">
        <f t="shared" si="36"/>
        <v>8.3291267036850365E-3</v>
      </c>
      <c r="D205" s="4">
        <f t="shared" si="42"/>
        <v>15.397608116533476</v>
      </c>
      <c r="E205" s="4"/>
      <c r="F205" s="1">
        <v>45979</v>
      </c>
      <c r="G205">
        <v>972.45</v>
      </c>
      <c r="H205">
        <f t="shared" si="37"/>
        <v>-9.2464170134070711E-4</v>
      </c>
      <c r="I205">
        <f t="shared" si="43"/>
        <v>35.919448785338837</v>
      </c>
      <c r="K205" s="1">
        <v>46008</v>
      </c>
      <c r="L205" s="2">
        <v>1792.9</v>
      </c>
      <c r="M205" s="2">
        <f t="shared" si="38"/>
        <v>6.512097906023767E-3</v>
      </c>
      <c r="N205" s="2">
        <f t="shared" si="44"/>
        <v>15.235569044006082</v>
      </c>
      <c r="O205" s="2"/>
      <c r="P205" s="1">
        <v>46010</v>
      </c>
      <c r="Q205" s="2">
        <v>16414</v>
      </c>
      <c r="R205">
        <f t="shared" si="39"/>
        <v>5.2054626737705924E-3</v>
      </c>
      <c r="S205">
        <f t="shared" si="45"/>
        <v>27.841461641600567</v>
      </c>
      <c r="U205" s="1">
        <v>46013</v>
      </c>
      <c r="V205" s="2">
        <v>11532</v>
      </c>
      <c r="W205">
        <f t="shared" si="40"/>
        <v>3.1315240083507308E-3</v>
      </c>
      <c r="X205">
        <f t="shared" si="46"/>
        <v>24.283355587141649</v>
      </c>
      <c r="Z205" s="2">
        <f t="shared" si="47"/>
        <v>118.67744317462061</v>
      </c>
      <c r="AA205" s="3">
        <f t="shared" si="41"/>
        <v>3.4879584180227408E-3</v>
      </c>
    </row>
    <row r="206" spans="1:27" x14ac:dyDescent="0.3">
      <c r="A206" s="1">
        <v>46003</v>
      </c>
      <c r="B206" s="2">
        <v>1598.2</v>
      </c>
      <c r="C206" s="4">
        <f t="shared" si="36"/>
        <v>1.2515644555697464E-4</v>
      </c>
      <c r="D206" s="4">
        <f t="shared" si="42"/>
        <v>15.39953522643542</v>
      </c>
      <c r="E206" s="4"/>
      <c r="F206" s="1">
        <v>45980</v>
      </c>
      <c r="G206">
        <v>982.75</v>
      </c>
      <c r="H206">
        <f t="shared" si="37"/>
        <v>1.0591804205871721E-2</v>
      </c>
      <c r="I206">
        <f t="shared" si="43"/>
        <v>36.299900554055981</v>
      </c>
      <c r="K206" s="1">
        <v>46009</v>
      </c>
      <c r="L206" s="2">
        <v>1745.9</v>
      </c>
      <c r="M206" s="2">
        <f t="shared" si="38"/>
        <v>-2.6214512800490825E-2</v>
      </c>
      <c r="N206" s="2">
        <f t="shared" si="44"/>
        <v>14.836176024279224</v>
      </c>
      <c r="O206" s="2"/>
      <c r="P206" s="1">
        <v>46013</v>
      </c>
      <c r="Q206" s="2">
        <v>16649</v>
      </c>
      <c r="R206">
        <f t="shared" si="39"/>
        <v>1.4317046423784573E-2</v>
      </c>
      <c r="S206">
        <f t="shared" si="45"/>
        <v>28.240069140429377</v>
      </c>
      <c r="U206" s="1">
        <v>46014</v>
      </c>
      <c r="V206" s="2">
        <v>11678</v>
      </c>
      <c r="W206">
        <f t="shared" si="40"/>
        <v>1.2660423170308707E-2</v>
      </c>
      <c r="X206">
        <f t="shared" si="46"/>
        <v>24.590793144869942</v>
      </c>
      <c r="Z206" s="2">
        <f t="shared" si="47"/>
        <v>119.36647409006994</v>
      </c>
      <c r="AA206" s="3">
        <f t="shared" si="41"/>
        <v>5.8059130447856155E-3</v>
      </c>
    </row>
    <row r="207" spans="1:27" x14ac:dyDescent="0.3">
      <c r="A207" s="1">
        <v>46006</v>
      </c>
      <c r="B207" s="2">
        <v>1606.8</v>
      </c>
      <c r="C207" s="4">
        <f t="shared" si="36"/>
        <v>5.3810536853960136E-3</v>
      </c>
      <c r="D207" s="4">
        <f t="shared" si="42"/>
        <v>15.482400952219015</v>
      </c>
      <c r="E207" s="4"/>
      <c r="F207" s="1">
        <v>45981</v>
      </c>
      <c r="G207">
        <v>981.55</v>
      </c>
      <c r="H207">
        <f t="shared" si="37"/>
        <v>-1.2210633426609468E-3</v>
      </c>
      <c r="I207">
        <f t="shared" si="43"/>
        <v>36.255576076147186</v>
      </c>
      <c r="K207" s="1">
        <v>46010</v>
      </c>
      <c r="L207" s="2">
        <v>1744.9</v>
      </c>
      <c r="M207" s="2">
        <f t="shared" si="38"/>
        <v>-5.7277049086431068E-4</v>
      </c>
      <c r="N207" s="2">
        <f t="shared" si="44"/>
        <v>14.827678300455247</v>
      </c>
      <c r="O207" s="2"/>
      <c r="P207" s="1">
        <v>46014</v>
      </c>
      <c r="Q207" s="2">
        <v>16585</v>
      </c>
      <c r="R207">
        <f t="shared" si="39"/>
        <v>-3.8440747192023546E-3</v>
      </c>
      <c r="S207">
        <f t="shared" si="45"/>
        <v>28.131512204578126</v>
      </c>
      <c r="U207" s="1">
        <v>46015</v>
      </c>
      <c r="V207" s="2">
        <v>11764</v>
      </c>
      <c r="W207">
        <f t="shared" si="40"/>
        <v>7.364274704572701E-3</v>
      </c>
      <c r="X207">
        <f t="shared" si="46"/>
        <v>24.771886500792089</v>
      </c>
      <c r="Z207" s="2">
        <f t="shared" si="47"/>
        <v>119.46905403419167</v>
      </c>
      <c r="AA207" s="3">
        <f t="shared" si="41"/>
        <v>8.5936980968637222E-4</v>
      </c>
    </row>
    <row r="208" spans="1:27" x14ac:dyDescent="0.3">
      <c r="A208" s="1">
        <v>46007</v>
      </c>
      <c r="B208" s="2">
        <v>1592.9</v>
      </c>
      <c r="C208" s="4">
        <f t="shared" si="36"/>
        <v>-8.6507343788896334E-3</v>
      </c>
      <c r="D208" s="4">
        <f t="shared" si="42"/>
        <v>15.3484668140339</v>
      </c>
      <c r="E208" s="4"/>
      <c r="F208" s="1">
        <v>45982</v>
      </c>
      <c r="G208">
        <v>972.6</v>
      </c>
      <c r="H208">
        <f t="shared" si="37"/>
        <v>-9.1182313687534332E-3</v>
      </c>
      <c r="I208">
        <f t="shared" si="43"/>
        <v>35.924989345077435</v>
      </c>
      <c r="K208" s="1">
        <v>46013</v>
      </c>
      <c r="L208" s="2">
        <v>1769.8</v>
      </c>
      <c r="M208" s="2">
        <f t="shared" si="38"/>
        <v>1.4270158748352262E-2</v>
      </c>
      <c r="N208" s="2">
        <f t="shared" si="44"/>
        <v>15.039271623672242</v>
      </c>
      <c r="O208" s="2"/>
      <c r="P208" s="1">
        <v>46015</v>
      </c>
      <c r="Q208" s="2">
        <v>16703</v>
      </c>
      <c r="R208">
        <f t="shared" si="39"/>
        <v>7.1148628278564965E-3</v>
      </c>
      <c r="S208">
        <f t="shared" si="45"/>
        <v>28.331664055053871</v>
      </c>
      <c r="U208" s="1">
        <v>46017</v>
      </c>
      <c r="V208" s="2">
        <v>11794</v>
      </c>
      <c r="W208">
        <f t="shared" si="40"/>
        <v>2.5501530091805507E-3</v>
      </c>
      <c r="X208">
        <f t="shared" si="46"/>
        <v>24.835058601695163</v>
      </c>
      <c r="Z208" s="2">
        <f t="shared" si="47"/>
        <v>119.47945043953261</v>
      </c>
      <c r="AA208" s="3">
        <f t="shared" si="41"/>
        <v>8.7021743203630209E-5</v>
      </c>
    </row>
    <row r="209" spans="1:27" x14ac:dyDescent="0.3">
      <c r="A209" s="1">
        <v>46008</v>
      </c>
      <c r="B209" s="2">
        <v>1602</v>
      </c>
      <c r="C209" s="4">
        <f t="shared" si="36"/>
        <v>5.712850775315405E-3</v>
      </c>
      <c r="D209" s="4">
        <f t="shared" si="42"/>
        <v>15.436150314572357</v>
      </c>
      <c r="E209" s="4"/>
      <c r="F209" s="1">
        <v>45985</v>
      </c>
      <c r="G209">
        <v>970.6</v>
      </c>
      <c r="H209">
        <f t="shared" si="37"/>
        <v>-2.0563438206868188E-3</v>
      </c>
      <c r="I209">
        <f t="shared" si="43"/>
        <v>35.851115215229441</v>
      </c>
      <c r="K209" s="1">
        <v>46014</v>
      </c>
      <c r="L209" s="2">
        <v>1755.9</v>
      </c>
      <c r="M209" s="2">
        <f t="shared" si="38"/>
        <v>-7.8539948016724277E-3</v>
      </c>
      <c r="N209" s="2">
        <f t="shared" si="44"/>
        <v>14.921153262518979</v>
      </c>
      <c r="O209" s="2"/>
      <c r="P209" s="1">
        <v>46017</v>
      </c>
      <c r="Q209" s="2">
        <v>16596</v>
      </c>
      <c r="R209">
        <f t="shared" si="39"/>
        <v>-6.406034844039993E-3</v>
      </c>
      <c r="S209">
        <f t="shared" si="45"/>
        <v>28.150170427927559</v>
      </c>
      <c r="U209" s="1">
        <v>46020</v>
      </c>
      <c r="V209" s="2">
        <v>11799</v>
      </c>
      <c r="W209">
        <f t="shared" si="40"/>
        <v>4.2394437849754114E-4</v>
      </c>
      <c r="X209">
        <f t="shared" si="46"/>
        <v>24.845587285179008</v>
      </c>
      <c r="Z209" s="2">
        <f t="shared" si="47"/>
        <v>119.20417650542736</v>
      </c>
      <c r="AA209" s="3">
        <f t="shared" si="41"/>
        <v>-2.3039437584672084E-3</v>
      </c>
    </row>
    <row r="210" spans="1:27" x14ac:dyDescent="0.3">
      <c r="A210" s="1">
        <v>46009</v>
      </c>
      <c r="B210" s="2">
        <v>1626.8</v>
      </c>
      <c r="C210" s="4">
        <f t="shared" si="36"/>
        <v>1.5480649188514328E-2</v>
      </c>
      <c r="D210" s="4">
        <f t="shared" si="42"/>
        <v>15.675111942413425</v>
      </c>
      <c r="E210" s="4"/>
      <c r="F210" s="1">
        <v>45986</v>
      </c>
      <c r="G210">
        <v>983.6</v>
      </c>
      <c r="H210">
        <f t="shared" si="37"/>
        <v>1.3393777045126726E-2</v>
      </c>
      <c r="I210">
        <f t="shared" si="43"/>
        <v>36.331297059241372</v>
      </c>
      <c r="K210" s="1">
        <v>46015</v>
      </c>
      <c r="L210" s="2">
        <v>1737</v>
      </c>
      <c r="M210" s="2">
        <f t="shared" si="38"/>
        <v>-1.0763710917478268E-2</v>
      </c>
      <c r="N210" s="2">
        <f t="shared" si="44"/>
        <v>14.760546282245837</v>
      </c>
      <c r="O210" s="2"/>
      <c r="P210" s="1">
        <v>46020</v>
      </c>
      <c r="Q210" s="2">
        <v>16542</v>
      </c>
      <c r="R210">
        <f t="shared" si="39"/>
        <v>-3.2537960954446853E-3</v>
      </c>
      <c r="S210">
        <f t="shared" si="45"/>
        <v>28.058575513303065</v>
      </c>
      <c r="U210" s="1">
        <v>46021</v>
      </c>
      <c r="V210" s="2">
        <v>11705</v>
      </c>
      <c r="W210">
        <f t="shared" si="40"/>
        <v>-7.9667768454953804E-3</v>
      </c>
      <c r="X210">
        <f t="shared" si="46"/>
        <v>24.647648035682707</v>
      </c>
      <c r="Z210" s="2">
        <f t="shared" si="47"/>
        <v>119.4731788328864</v>
      </c>
      <c r="AA210" s="3">
        <f t="shared" si="41"/>
        <v>2.2566518669486779E-3</v>
      </c>
    </row>
    <row r="211" spans="1:27" x14ac:dyDescent="0.3">
      <c r="A211" s="1">
        <v>46010</v>
      </c>
      <c r="B211" s="2">
        <v>1638.7</v>
      </c>
      <c r="C211" s="4">
        <f t="shared" si="36"/>
        <v>7.3149741824441181E-3</v>
      </c>
      <c r="D211" s="4">
        <f t="shared" si="42"/>
        <v>15.7897749815791</v>
      </c>
      <c r="E211" s="4"/>
      <c r="F211" s="1">
        <v>45987</v>
      </c>
      <c r="G211">
        <v>983.9</v>
      </c>
      <c r="H211">
        <f t="shared" si="37"/>
        <v>3.0500203334684272E-4</v>
      </c>
      <c r="I211">
        <f t="shared" si="43"/>
        <v>36.342378178718569</v>
      </c>
      <c r="K211" s="1">
        <v>46017</v>
      </c>
      <c r="L211" s="2">
        <v>1719.5</v>
      </c>
      <c r="M211" s="2">
        <f t="shared" si="38"/>
        <v>-1.0074841681059297E-2</v>
      </c>
      <c r="N211" s="2">
        <f t="shared" si="44"/>
        <v>14.611836115326261</v>
      </c>
      <c r="O211" s="2"/>
      <c r="P211" s="1">
        <v>46021</v>
      </c>
      <c r="Q211" s="2">
        <v>16647</v>
      </c>
      <c r="R211">
        <f t="shared" si="39"/>
        <v>6.3474791439970986E-3</v>
      </c>
      <c r="S211">
        <f t="shared" si="45"/>
        <v>28.236676736184023</v>
      </c>
      <c r="U211" s="1">
        <v>46022</v>
      </c>
      <c r="V211" s="2">
        <v>11784</v>
      </c>
      <c r="W211">
        <f t="shared" si="40"/>
        <v>6.7492524562152928E-3</v>
      </c>
      <c r="X211">
        <f t="shared" si="46"/>
        <v>24.814001234727471</v>
      </c>
      <c r="Z211" s="2">
        <f t="shared" si="47"/>
        <v>119.79466724653543</v>
      </c>
      <c r="AA211" s="3">
        <f t="shared" si="41"/>
        <v>2.6908835672541098E-3</v>
      </c>
    </row>
    <row r="212" spans="1:27" x14ac:dyDescent="0.3">
      <c r="A212" s="1">
        <v>46013</v>
      </c>
      <c r="B212" s="2">
        <v>1689.6</v>
      </c>
      <c r="C212" s="4">
        <f t="shared" si="36"/>
        <v>3.1061207054372285E-2</v>
      </c>
      <c r="D212" s="4">
        <f t="shared" si="42"/>
        <v>16.280224451623877</v>
      </c>
      <c r="E212" s="4"/>
      <c r="F212" s="1">
        <v>45988</v>
      </c>
      <c r="G212">
        <v>972.85</v>
      </c>
      <c r="H212">
        <f t="shared" si="37"/>
        <v>-1.1230816139851565E-2</v>
      </c>
      <c r="I212">
        <f t="shared" si="43"/>
        <v>35.934223611308425</v>
      </c>
      <c r="K212" s="1">
        <v>46020</v>
      </c>
      <c r="L212" s="2">
        <v>1717.2</v>
      </c>
      <c r="M212" s="2">
        <f t="shared" si="38"/>
        <v>-1.3375981389938672E-3</v>
      </c>
      <c r="N212" s="2">
        <f t="shared" si="44"/>
        <v>14.592291350531118</v>
      </c>
      <c r="O212" s="2"/>
      <c r="P212" s="1">
        <v>46022</v>
      </c>
      <c r="Q212" s="2">
        <v>16697</v>
      </c>
      <c r="R212">
        <f t="shared" si="39"/>
        <v>3.003544182134919E-3</v>
      </c>
      <c r="S212">
        <f t="shared" si="45"/>
        <v>28.321486842317814</v>
      </c>
      <c r="U212" s="1">
        <v>46023</v>
      </c>
      <c r="V212" s="2">
        <v>11901</v>
      </c>
      <c r="W212">
        <f t="shared" si="40"/>
        <v>9.9287169042769855E-3</v>
      </c>
      <c r="X212">
        <f t="shared" si="46"/>
        <v>25.060372428249458</v>
      </c>
      <c r="Z212" s="2">
        <f t="shared" si="47"/>
        <v>120.18859868403069</v>
      </c>
      <c r="AA212" s="3">
        <f t="shared" si="41"/>
        <v>3.2883887617849439E-3</v>
      </c>
    </row>
    <row r="213" spans="1:27" x14ac:dyDescent="0.3">
      <c r="A213" s="1">
        <v>46014</v>
      </c>
      <c r="B213" s="2">
        <v>1668.3</v>
      </c>
      <c r="C213" s="4">
        <f t="shared" si="36"/>
        <v>-1.2606534090909064E-2</v>
      </c>
      <c r="D213" s="4">
        <f t="shared" si="42"/>
        <v>16.074987247066829</v>
      </c>
      <c r="E213" s="4"/>
      <c r="F213" s="1">
        <v>45989</v>
      </c>
      <c r="G213">
        <v>979</v>
      </c>
      <c r="H213">
        <f t="shared" si="37"/>
        <v>6.3216323174178721E-3</v>
      </c>
      <c r="I213">
        <f t="shared" si="43"/>
        <v>36.161386560590991</v>
      </c>
      <c r="K213" s="1">
        <v>46021</v>
      </c>
      <c r="L213" s="2">
        <v>1720.2</v>
      </c>
      <c r="M213" s="2">
        <f t="shared" si="38"/>
        <v>1.7470300489168414E-3</v>
      </c>
      <c r="N213" s="2">
        <f t="shared" si="44"/>
        <v>14.617784522003046</v>
      </c>
      <c r="O213" s="2"/>
      <c r="P213" s="1">
        <v>46023</v>
      </c>
      <c r="Q213" s="2">
        <v>16708</v>
      </c>
      <c r="R213">
        <f t="shared" si="39"/>
        <v>6.5880098221237347E-4</v>
      </c>
      <c r="S213">
        <f t="shared" si="45"/>
        <v>28.340145065667247</v>
      </c>
      <c r="U213" s="1">
        <v>46024</v>
      </c>
      <c r="V213" s="2">
        <v>11899</v>
      </c>
      <c r="W213">
        <f t="shared" si="40"/>
        <v>-1.6805310478111083E-4</v>
      </c>
      <c r="X213">
        <f t="shared" si="46"/>
        <v>25.056160954855923</v>
      </c>
      <c r="Z213" s="2">
        <f t="shared" si="47"/>
        <v>120.25046435018403</v>
      </c>
      <c r="AA213" s="3">
        <f t="shared" si="41"/>
        <v>5.1473822667635893E-4</v>
      </c>
    </row>
    <row r="214" spans="1:27" x14ac:dyDescent="0.3">
      <c r="A214" s="1">
        <v>46015</v>
      </c>
      <c r="B214" s="2">
        <v>1663.4</v>
      </c>
      <c r="C214" s="4">
        <f t="shared" si="36"/>
        <v>-2.9371216208115229E-3</v>
      </c>
      <c r="D214" s="4">
        <f t="shared" si="42"/>
        <v>16.027773054469201</v>
      </c>
      <c r="E214" s="4"/>
      <c r="F214" s="1">
        <v>45992</v>
      </c>
      <c r="G214">
        <v>973.1</v>
      </c>
      <c r="H214">
        <f t="shared" si="37"/>
        <v>-6.0265577119509471E-3</v>
      </c>
      <c r="I214">
        <f t="shared" si="43"/>
        <v>35.943457877539423</v>
      </c>
      <c r="K214" s="1">
        <v>46022</v>
      </c>
      <c r="L214" s="2">
        <v>1719.7</v>
      </c>
      <c r="M214" s="2">
        <f t="shared" si="38"/>
        <v>-2.9066387629345423E-4</v>
      </c>
      <c r="N214" s="2">
        <f t="shared" si="44"/>
        <v>14.613535660091056</v>
      </c>
      <c r="O214" s="2"/>
      <c r="P214" s="1">
        <v>46024</v>
      </c>
      <c r="Q214" s="2">
        <v>16960</v>
      </c>
      <c r="R214">
        <f t="shared" si="39"/>
        <v>1.5082595163993297E-2</v>
      </c>
      <c r="S214">
        <f t="shared" si="45"/>
        <v>28.767588000581547</v>
      </c>
      <c r="U214" s="1">
        <v>46027</v>
      </c>
      <c r="V214" s="2">
        <v>12087</v>
      </c>
      <c r="W214">
        <f t="shared" si="40"/>
        <v>1.5799647029162114E-2</v>
      </c>
      <c r="X214">
        <f t="shared" si="46"/>
        <v>25.452039453848521</v>
      </c>
      <c r="Z214" s="2">
        <f t="shared" si="47"/>
        <v>120.80439404652975</v>
      </c>
      <c r="AA214" s="3">
        <f t="shared" si="41"/>
        <v>4.6064661732416745E-3</v>
      </c>
    </row>
    <row r="215" spans="1:27" x14ac:dyDescent="0.3">
      <c r="A215" s="1">
        <v>46017</v>
      </c>
      <c r="B215" s="2">
        <v>1656.1</v>
      </c>
      <c r="C215" s="4">
        <f t="shared" si="36"/>
        <v>-4.3886016592522437E-3</v>
      </c>
      <c r="D215" s="4">
        <f t="shared" si="42"/>
        <v>15.957433543048239</v>
      </c>
      <c r="E215" s="4"/>
      <c r="F215" s="1">
        <v>45993</v>
      </c>
      <c r="G215">
        <v>967.3</v>
      </c>
      <c r="H215">
        <f t="shared" si="37"/>
        <v>-5.9603329565307448E-3</v>
      </c>
      <c r="I215">
        <f t="shared" si="43"/>
        <v>35.729222900980247</v>
      </c>
      <c r="K215" s="1">
        <v>46023</v>
      </c>
      <c r="L215" s="2">
        <v>1721.1</v>
      </c>
      <c r="M215" s="2">
        <f t="shared" si="38"/>
        <v>8.1409548176999687E-4</v>
      </c>
      <c r="N215" s="2">
        <f t="shared" si="44"/>
        <v>14.62543247344462</v>
      </c>
      <c r="O215" s="2"/>
      <c r="P215" s="1">
        <v>46027</v>
      </c>
      <c r="Q215" s="2">
        <v>17155</v>
      </c>
      <c r="R215">
        <f t="shared" si="39"/>
        <v>1.1497641509433961E-2</v>
      </c>
      <c r="S215">
        <f t="shared" si="45"/>
        <v>29.098347414503326</v>
      </c>
      <c r="U215" s="1">
        <v>46028</v>
      </c>
      <c r="V215" s="2">
        <v>12204</v>
      </c>
      <c r="W215">
        <f t="shared" si="40"/>
        <v>9.6798212956068497E-3</v>
      </c>
      <c r="X215">
        <f t="shared" si="46"/>
        <v>25.698410647370508</v>
      </c>
      <c r="Z215" s="2">
        <f t="shared" si="47"/>
        <v>121.10884697934694</v>
      </c>
      <c r="AA215" s="3">
        <f t="shared" si="41"/>
        <v>2.5202140635705028E-3</v>
      </c>
    </row>
    <row r="216" spans="1:27" x14ac:dyDescent="0.3">
      <c r="A216" s="1">
        <v>46020</v>
      </c>
      <c r="B216" s="2">
        <v>1644.7</v>
      </c>
      <c r="C216" s="4">
        <f t="shared" si="36"/>
        <v>-6.8836422921320353E-3</v>
      </c>
      <c r="D216" s="4">
        <f t="shared" si="42"/>
        <v>15.847588278637426</v>
      </c>
      <c r="E216" s="4"/>
      <c r="F216" s="1">
        <v>45994</v>
      </c>
      <c r="G216">
        <v>951.05</v>
      </c>
      <c r="H216">
        <f t="shared" si="37"/>
        <v>-1.6799338364519797E-2</v>
      </c>
      <c r="I216">
        <f t="shared" si="43"/>
        <v>35.128995595965335</v>
      </c>
      <c r="K216" s="1">
        <v>46024</v>
      </c>
      <c r="L216" s="2">
        <v>1728</v>
      </c>
      <c r="M216" s="2">
        <f t="shared" si="38"/>
        <v>4.0090639707164553E-3</v>
      </c>
      <c r="N216" s="2">
        <f t="shared" si="44"/>
        <v>14.684066767830053</v>
      </c>
      <c r="O216" s="2"/>
      <c r="P216" s="1">
        <v>46028</v>
      </c>
      <c r="Q216" s="2">
        <v>17292</v>
      </c>
      <c r="R216">
        <f t="shared" si="39"/>
        <v>7.9860099096473337E-3</v>
      </c>
      <c r="S216">
        <f t="shared" si="45"/>
        <v>29.330727105309911</v>
      </c>
      <c r="U216" s="1">
        <v>46029</v>
      </c>
      <c r="V216" s="2">
        <v>12184</v>
      </c>
      <c r="W216">
        <f t="shared" si="40"/>
        <v>-1.6388069485414618E-3</v>
      </c>
      <c r="X216">
        <f t="shared" si="46"/>
        <v>25.656295913435127</v>
      </c>
      <c r="Z216" s="2">
        <f t="shared" si="47"/>
        <v>120.64767366117785</v>
      </c>
      <c r="AA216" s="3">
        <f t="shared" si="41"/>
        <v>-3.8079242736720476E-3</v>
      </c>
    </row>
    <row r="217" spans="1:27" x14ac:dyDescent="0.3">
      <c r="A217" s="1">
        <v>46021</v>
      </c>
      <c r="B217" s="2">
        <v>1621.6</v>
      </c>
      <c r="C217" s="4">
        <f t="shared" si="36"/>
        <v>-1.404511461056736E-2</v>
      </c>
      <c r="D217" s="4">
        <f t="shared" si="42"/>
        <v>15.625007084962879</v>
      </c>
      <c r="E217" s="4"/>
      <c r="F217" s="1">
        <v>45995</v>
      </c>
      <c r="G217">
        <v>948.1</v>
      </c>
      <c r="H217">
        <f t="shared" si="37"/>
        <v>-3.101834814152707E-3</v>
      </c>
      <c r="I217">
        <f t="shared" si="43"/>
        <v>35.020031254439552</v>
      </c>
      <c r="K217" s="1">
        <v>46027</v>
      </c>
      <c r="L217" s="2">
        <v>1728.9</v>
      </c>
      <c r="M217" s="2">
        <f t="shared" si="38"/>
        <v>5.2083333333338602E-4</v>
      </c>
      <c r="N217" s="2">
        <f t="shared" si="44"/>
        <v>14.691714719271632</v>
      </c>
      <c r="O217" s="2"/>
      <c r="P217" s="1">
        <v>46029</v>
      </c>
      <c r="Q217" s="2">
        <v>16809</v>
      </c>
      <c r="R217">
        <f t="shared" si="39"/>
        <v>-2.7931991672449689E-2</v>
      </c>
      <c r="S217">
        <f t="shared" si="45"/>
        <v>28.511461480057502</v>
      </c>
      <c r="U217" s="1">
        <v>46030</v>
      </c>
      <c r="V217" s="2">
        <v>12064</v>
      </c>
      <c r="W217">
        <f t="shared" si="40"/>
        <v>-9.8489822718319103E-3</v>
      </c>
      <c r="X217">
        <f t="shared" si="46"/>
        <v>25.40360750982283</v>
      </c>
      <c r="Z217" s="2">
        <f t="shared" si="47"/>
        <v>119.2518220485544</v>
      </c>
      <c r="AA217" s="3">
        <f t="shared" si="41"/>
        <v>-1.1569652114001849E-2</v>
      </c>
    </row>
    <row r="218" spans="1:27" x14ac:dyDescent="0.3">
      <c r="A218" s="1">
        <v>46022</v>
      </c>
      <c r="B218" s="2">
        <v>1615.4</v>
      </c>
      <c r="C218" s="4">
        <f t="shared" si="36"/>
        <v>-3.8233843117907117E-3</v>
      </c>
      <c r="D218" s="4">
        <f t="shared" si="42"/>
        <v>15.565266678002613</v>
      </c>
      <c r="E218" s="4"/>
      <c r="F218" s="1">
        <v>45996</v>
      </c>
      <c r="G218">
        <v>971.5</v>
      </c>
      <c r="H218">
        <f t="shared" si="37"/>
        <v>2.468094082902645E-2</v>
      </c>
      <c r="I218">
        <f t="shared" si="43"/>
        <v>35.884358573661032</v>
      </c>
      <c r="K218" s="1">
        <v>46028</v>
      </c>
      <c r="L218" s="2">
        <v>1760.2</v>
      </c>
      <c r="M218" s="2">
        <f t="shared" si="38"/>
        <v>1.8103996760946241E-2</v>
      </c>
      <c r="N218" s="2">
        <f t="shared" si="44"/>
        <v>14.95769347496207</v>
      </c>
      <c r="O218" s="2"/>
      <c r="P218" s="1">
        <v>46030</v>
      </c>
      <c r="Q218" s="2">
        <v>16664</v>
      </c>
      <c r="R218">
        <f t="shared" si="39"/>
        <v>-8.6263311321315966E-3</v>
      </c>
      <c r="S218">
        <f t="shared" si="45"/>
        <v>28.26551217226951</v>
      </c>
      <c r="U218" s="1">
        <v>46031</v>
      </c>
      <c r="V218" s="2">
        <v>11937</v>
      </c>
      <c r="W218">
        <f t="shared" si="40"/>
        <v>-1.0527188328912467E-2</v>
      </c>
      <c r="X218">
        <f t="shared" si="46"/>
        <v>25.13617894933315</v>
      </c>
      <c r="Z218" s="2">
        <f t="shared" si="47"/>
        <v>119.80900984822838</v>
      </c>
      <c r="AA218" s="3">
        <f t="shared" si="41"/>
        <v>4.672362988694001E-3</v>
      </c>
    </row>
    <row r="219" spans="1:27" x14ac:dyDescent="0.3">
      <c r="A219" s="1">
        <v>46023</v>
      </c>
      <c r="B219" s="2">
        <v>1629.8</v>
      </c>
      <c r="C219" s="4">
        <f t="shared" si="36"/>
        <v>8.9142008171349905E-3</v>
      </c>
      <c r="D219" s="4">
        <f t="shared" si="42"/>
        <v>15.704018590942589</v>
      </c>
      <c r="E219" s="4"/>
      <c r="F219" s="1">
        <v>45999</v>
      </c>
      <c r="G219">
        <v>956.4</v>
      </c>
      <c r="H219">
        <f t="shared" si="37"/>
        <v>-1.5542974781266107E-2</v>
      </c>
      <c r="I219">
        <f t="shared" si="43"/>
        <v>35.326608893308709</v>
      </c>
      <c r="K219" s="1">
        <v>46029</v>
      </c>
      <c r="L219" s="2">
        <v>1782.6</v>
      </c>
      <c r="M219" s="2">
        <f t="shared" si="38"/>
        <v>1.2725826610612353E-2</v>
      </c>
      <c r="N219" s="2">
        <f t="shared" si="44"/>
        <v>15.148042488619124</v>
      </c>
      <c r="O219" s="2"/>
      <c r="P219" s="1">
        <v>46031</v>
      </c>
      <c r="Q219" s="2">
        <v>16501</v>
      </c>
      <c r="R219">
        <f t="shared" si="39"/>
        <v>-9.7815650504080656E-3</v>
      </c>
      <c r="S219">
        <f t="shared" si="45"/>
        <v>27.989031226273354</v>
      </c>
      <c r="U219" s="1">
        <v>46034</v>
      </c>
      <c r="V219" s="2">
        <v>12098</v>
      </c>
      <c r="W219">
        <f t="shared" si="40"/>
        <v>1.348747591522158E-2</v>
      </c>
      <c r="X219">
        <f t="shared" si="46"/>
        <v>25.475202557512979</v>
      </c>
      <c r="Z219" s="2">
        <f t="shared" si="47"/>
        <v>119.64290375665675</v>
      </c>
      <c r="AA219" s="3">
        <f t="shared" si="41"/>
        <v>-1.3864240409136031E-3</v>
      </c>
    </row>
    <row r="220" spans="1:27" x14ac:dyDescent="0.3">
      <c r="A220" s="1">
        <v>46024</v>
      </c>
      <c r="B220" s="2">
        <v>1640.4</v>
      </c>
      <c r="C220" s="4">
        <f t="shared" si="36"/>
        <v>6.5038655049700191E-3</v>
      </c>
      <c r="D220" s="4">
        <f t="shared" si="42"/>
        <v>15.806155415745629</v>
      </c>
      <c r="E220" s="4"/>
      <c r="F220" s="1">
        <v>46000</v>
      </c>
      <c r="G220">
        <v>959.35</v>
      </c>
      <c r="H220">
        <f t="shared" si="37"/>
        <v>3.0844834797156477E-3</v>
      </c>
      <c r="I220">
        <f t="shared" si="43"/>
        <v>35.4355732348345</v>
      </c>
      <c r="K220" s="1">
        <v>46030</v>
      </c>
      <c r="L220" s="2">
        <v>1760.7</v>
      </c>
      <c r="M220" s="2">
        <f t="shared" si="38"/>
        <v>-1.2285425782564717E-2</v>
      </c>
      <c r="N220" s="2">
        <f t="shared" si="44"/>
        <v>14.961942336874056</v>
      </c>
      <c r="O220" s="2"/>
      <c r="P220" s="1">
        <v>46034</v>
      </c>
      <c r="Q220" s="2">
        <v>16582</v>
      </c>
      <c r="R220">
        <f t="shared" si="39"/>
        <v>4.9087934064602143E-3</v>
      </c>
      <c r="S220">
        <f t="shared" si="45"/>
        <v>28.126423598210096</v>
      </c>
      <c r="U220" s="1">
        <v>46035</v>
      </c>
      <c r="V220" s="2">
        <v>12044</v>
      </c>
      <c r="W220">
        <f t="shared" si="40"/>
        <v>-4.4635476938336919E-3</v>
      </c>
      <c r="X220">
        <f t="shared" si="46"/>
        <v>25.361492775887445</v>
      </c>
      <c r="Z220" s="2">
        <f t="shared" si="47"/>
        <v>119.69158736155173</v>
      </c>
      <c r="AA220" s="3">
        <f t="shared" si="41"/>
        <v>4.0690758387129655E-4</v>
      </c>
    </row>
    <row r="221" spans="1:27" x14ac:dyDescent="0.3">
      <c r="A221" s="1">
        <v>46027</v>
      </c>
      <c r="B221" s="2">
        <v>1606.4</v>
      </c>
      <c r="C221" s="4">
        <f t="shared" si="36"/>
        <v>-2.0726652036088759E-2</v>
      </c>
      <c r="D221" s="4">
        <f t="shared" si="42"/>
        <v>15.478546732415127</v>
      </c>
      <c r="E221" s="4"/>
      <c r="F221" s="1">
        <v>46001</v>
      </c>
      <c r="G221">
        <v>959.75</v>
      </c>
      <c r="H221">
        <f t="shared" si="37"/>
        <v>4.1694897586905429E-4</v>
      </c>
      <c r="I221">
        <f t="shared" si="43"/>
        <v>35.450348060804096</v>
      </c>
      <c r="K221" s="1">
        <v>46031</v>
      </c>
      <c r="L221" s="2">
        <v>1729.9</v>
      </c>
      <c r="M221" s="2">
        <f t="shared" si="38"/>
        <v>-1.7493042539898876E-2</v>
      </c>
      <c r="N221" s="2">
        <f t="shared" si="44"/>
        <v>14.700212443095603</v>
      </c>
      <c r="O221" s="2"/>
      <c r="P221" s="1">
        <v>46035</v>
      </c>
      <c r="Q221" s="2">
        <v>16426</v>
      </c>
      <c r="R221">
        <f t="shared" si="39"/>
        <v>-9.4077915812326614E-3</v>
      </c>
      <c r="S221">
        <f t="shared" si="45"/>
        <v>27.861816067072674</v>
      </c>
      <c r="U221" s="1">
        <v>46036</v>
      </c>
      <c r="V221" s="2">
        <v>12255</v>
      </c>
      <c r="W221">
        <f t="shared" si="40"/>
        <v>1.7519096645632681E-2</v>
      </c>
      <c r="X221">
        <f t="shared" si="46"/>
        <v>25.805803218905734</v>
      </c>
      <c r="Z221" s="2">
        <f t="shared" si="47"/>
        <v>119.29672652229323</v>
      </c>
      <c r="AA221" s="3">
        <f t="shared" si="41"/>
        <v>-3.2989857346092943E-3</v>
      </c>
    </row>
    <row r="222" spans="1:27" x14ac:dyDescent="0.3">
      <c r="A222" s="1">
        <v>46028</v>
      </c>
      <c r="B222" s="2">
        <v>1612.2</v>
      </c>
      <c r="C222" s="4">
        <f t="shared" si="36"/>
        <v>3.6105577689242744E-3</v>
      </c>
      <c r="D222" s="4">
        <f t="shared" si="42"/>
        <v>15.534432919571506</v>
      </c>
      <c r="E222" s="4"/>
      <c r="F222" s="1">
        <v>46002</v>
      </c>
      <c r="G222">
        <v>963.25</v>
      </c>
      <c r="H222">
        <f t="shared" si="37"/>
        <v>3.6467830164105238E-3</v>
      </c>
      <c r="I222">
        <f t="shared" si="43"/>
        <v>35.579627788038074</v>
      </c>
      <c r="K222" s="1">
        <v>46034</v>
      </c>
      <c r="L222" s="2">
        <v>1736</v>
      </c>
      <c r="M222" s="2">
        <f t="shared" si="38"/>
        <v>3.5262153881726738E-3</v>
      </c>
      <c r="N222" s="2">
        <f t="shared" si="44"/>
        <v>14.752048558421857</v>
      </c>
      <c r="O222" s="2"/>
      <c r="P222" s="1">
        <v>46036</v>
      </c>
      <c r="Q222" s="2">
        <v>16152</v>
      </c>
      <c r="R222">
        <f t="shared" si="39"/>
        <v>-1.6680871788627784E-2</v>
      </c>
      <c r="S222">
        <f t="shared" si="45"/>
        <v>27.397056685459507</v>
      </c>
      <c r="U222" s="1">
        <v>46038</v>
      </c>
      <c r="V222" s="2">
        <v>12378</v>
      </c>
      <c r="W222">
        <f t="shared" si="40"/>
        <v>1.0036719706242351E-2</v>
      </c>
      <c r="X222">
        <f t="shared" si="46"/>
        <v>26.064808832608335</v>
      </c>
      <c r="Z222" s="2">
        <f t="shared" si="47"/>
        <v>119.32797478409928</v>
      </c>
      <c r="AA222" s="3">
        <f t="shared" si="41"/>
        <v>2.6193729465173732E-4</v>
      </c>
    </row>
    <row r="223" spans="1:27" x14ac:dyDescent="0.3">
      <c r="A223" s="1">
        <v>46029</v>
      </c>
      <c r="B223" s="2">
        <v>1639</v>
      </c>
      <c r="C223" s="4">
        <f t="shared" si="36"/>
        <v>1.6623247736012873E-2</v>
      </c>
      <c r="D223" s="4">
        <f t="shared" si="42"/>
        <v>15.792665646432017</v>
      </c>
      <c r="E223" s="4"/>
      <c r="F223" s="1">
        <v>46003</v>
      </c>
      <c r="G223">
        <v>963.15</v>
      </c>
      <c r="H223">
        <f t="shared" si="37"/>
        <v>-1.0381520892813157E-4</v>
      </c>
      <c r="I223">
        <f t="shared" si="43"/>
        <v>35.575934081545675</v>
      </c>
      <c r="K223" s="1">
        <v>46035</v>
      </c>
      <c r="L223" s="2">
        <v>1728.7</v>
      </c>
      <c r="M223" s="2">
        <f t="shared" si="38"/>
        <v>-4.2050691244239369E-3</v>
      </c>
      <c r="N223" s="2">
        <f t="shared" si="44"/>
        <v>14.690015174506833</v>
      </c>
      <c r="O223" s="2"/>
      <c r="P223" s="1">
        <v>46038</v>
      </c>
      <c r="Q223" s="2">
        <v>15859</v>
      </c>
      <c r="R223">
        <f t="shared" si="39"/>
        <v>-1.8140168400198119E-2</v>
      </c>
      <c r="S223">
        <f t="shared" si="45"/>
        <v>26.900069463515496</v>
      </c>
      <c r="U223" s="1">
        <v>46041</v>
      </c>
      <c r="V223" s="2">
        <v>12297</v>
      </c>
      <c r="W223">
        <f t="shared" si="40"/>
        <v>-6.5438681531749879E-3</v>
      </c>
      <c r="X223">
        <f t="shared" si="46"/>
        <v>25.894244160170036</v>
      </c>
      <c r="Z223" s="2">
        <f t="shared" si="47"/>
        <v>118.85292852617005</v>
      </c>
      <c r="AA223" s="3">
        <f t="shared" si="41"/>
        <v>-3.9810133272498716E-3</v>
      </c>
    </row>
    <row r="224" spans="1:27" x14ac:dyDescent="0.3">
      <c r="A224" s="1">
        <v>46030</v>
      </c>
      <c r="B224" s="2">
        <v>1613.3</v>
      </c>
      <c r="C224" s="4">
        <f t="shared" si="36"/>
        <v>-1.5680292861500942E-2</v>
      </c>
      <c r="D224" s="4">
        <f t="shared" si="42"/>
        <v>15.545032024032198</v>
      </c>
      <c r="E224" s="4"/>
      <c r="F224" s="1">
        <v>46006</v>
      </c>
      <c r="G224">
        <v>967.25</v>
      </c>
      <c r="H224">
        <f t="shared" si="37"/>
        <v>4.25686549343303E-3</v>
      </c>
      <c r="I224">
        <f t="shared" si="43"/>
        <v>35.727376047734055</v>
      </c>
      <c r="K224" s="1">
        <v>46036</v>
      </c>
      <c r="L224" s="2">
        <v>1700.7</v>
      </c>
      <c r="M224" s="2">
        <f t="shared" si="38"/>
        <v>-1.6197142361311968E-2</v>
      </c>
      <c r="N224" s="2">
        <f t="shared" si="44"/>
        <v>14.452078907435512</v>
      </c>
      <c r="O224" s="2"/>
      <c r="P224" s="1">
        <v>46041</v>
      </c>
      <c r="Q224" s="2">
        <v>16176</v>
      </c>
      <c r="R224">
        <f t="shared" si="39"/>
        <v>1.9988649977930512E-2</v>
      </c>
      <c r="S224">
        <f t="shared" si="45"/>
        <v>27.437765536403724</v>
      </c>
      <c r="U224" s="1">
        <v>46042</v>
      </c>
      <c r="V224" s="2">
        <v>12059</v>
      </c>
      <c r="W224">
        <f t="shared" si="40"/>
        <v>-1.9354314060339921E-2</v>
      </c>
      <c r="X224">
        <f t="shared" si="46"/>
        <v>25.393078826338982</v>
      </c>
      <c r="Z224" s="2">
        <f t="shared" si="47"/>
        <v>118.55533134194445</v>
      </c>
      <c r="AA224" s="3">
        <f t="shared" si="41"/>
        <v>-2.5039112448967948E-3</v>
      </c>
    </row>
    <row r="225" spans="1:27" x14ac:dyDescent="0.3">
      <c r="A225" s="1">
        <v>46031</v>
      </c>
      <c r="B225" s="2">
        <v>1614.1</v>
      </c>
      <c r="C225" s="4">
        <f t="shared" si="36"/>
        <v>4.9587801400852573E-4</v>
      </c>
      <c r="D225" s="4">
        <f t="shared" si="42"/>
        <v>15.552740463639973</v>
      </c>
      <c r="E225" s="4"/>
      <c r="F225" s="1">
        <v>46007</v>
      </c>
      <c r="G225">
        <v>961.15</v>
      </c>
      <c r="H225">
        <f t="shared" si="37"/>
        <v>-6.3065391574050377E-3</v>
      </c>
      <c r="I225">
        <f t="shared" si="43"/>
        <v>35.502059951697682</v>
      </c>
      <c r="K225" s="1">
        <v>46038</v>
      </c>
      <c r="L225" s="2">
        <v>1668.9</v>
      </c>
      <c r="M225" s="2">
        <f t="shared" si="38"/>
        <v>-1.8698183101076002E-2</v>
      </c>
      <c r="N225" s="2">
        <f t="shared" si="44"/>
        <v>14.181851289833086</v>
      </c>
      <c r="O225" s="2"/>
      <c r="P225" s="1">
        <v>46042</v>
      </c>
      <c r="Q225" s="2">
        <v>15879</v>
      </c>
      <c r="R225">
        <f t="shared" si="39"/>
        <v>-1.8360534124629079E-2</v>
      </c>
      <c r="S225">
        <f t="shared" si="45"/>
        <v>26.93399350596901</v>
      </c>
      <c r="U225" s="1">
        <v>46043</v>
      </c>
      <c r="V225" s="2">
        <v>12231</v>
      </c>
      <c r="W225">
        <f t="shared" si="40"/>
        <v>1.4263205904303839E-2</v>
      </c>
      <c r="X225">
        <f t="shared" si="46"/>
        <v>25.75526553818327</v>
      </c>
      <c r="Z225" s="2">
        <f t="shared" si="47"/>
        <v>117.92591074932302</v>
      </c>
      <c r="AA225" s="3">
        <f t="shared" si="41"/>
        <v>-5.3090872042356185E-3</v>
      </c>
    </row>
    <row r="226" spans="1:27" x14ac:dyDescent="0.3">
      <c r="A226" s="1">
        <v>46034</v>
      </c>
      <c r="B226" s="2">
        <v>1595.9</v>
      </c>
      <c r="C226" s="4">
        <f t="shared" si="36"/>
        <v>-1.1275633479957759E-2</v>
      </c>
      <c r="D226" s="4">
        <f t="shared" si="42"/>
        <v>15.37737346256306</v>
      </c>
      <c r="E226" s="4"/>
      <c r="F226" s="1">
        <v>46008</v>
      </c>
      <c r="G226">
        <v>975.85</v>
      </c>
      <c r="H226">
        <f t="shared" si="37"/>
        <v>1.5294178848254743E-2</v>
      </c>
      <c r="I226">
        <f t="shared" si="43"/>
        <v>36.045034806080409</v>
      </c>
      <c r="K226" s="1">
        <v>46041</v>
      </c>
      <c r="L226" s="2">
        <v>1675.4</v>
      </c>
      <c r="M226" s="2">
        <f t="shared" si="38"/>
        <v>3.8947809934687517E-3</v>
      </c>
      <c r="N226" s="2">
        <f t="shared" si="44"/>
        <v>14.23708649468893</v>
      </c>
      <c r="O226" s="2"/>
      <c r="P226" s="1">
        <v>46043</v>
      </c>
      <c r="Q226" s="2">
        <v>15770</v>
      </c>
      <c r="R226">
        <f t="shared" si="39"/>
        <v>-6.8644121166320298E-3</v>
      </c>
      <c r="S226">
        <f t="shared" si="45"/>
        <v>26.749107474597348</v>
      </c>
      <c r="U226" s="1">
        <v>46044</v>
      </c>
      <c r="V226" s="2">
        <v>12364</v>
      </c>
      <c r="W226">
        <f t="shared" si="40"/>
        <v>1.0874008666503147E-2</v>
      </c>
      <c r="X226">
        <f t="shared" si="46"/>
        <v>26.035328518853564</v>
      </c>
      <c r="Z226" s="2">
        <f t="shared" si="47"/>
        <v>118.4439307567833</v>
      </c>
      <c r="AA226" s="3">
        <f t="shared" si="41"/>
        <v>4.3927581662814852E-3</v>
      </c>
    </row>
    <row r="227" spans="1:27" x14ac:dyDescent="0.3">
      <c r="A227" s="1">
        <v>46035</v>
      </c>
      <c r="B227" s="2">
        <v>1599</v>
      </c>
      <c r="C227" s="4">
        <f t="shared" si="36"/>
        <v>1.9424775988469885E-3</v>
      </c>
      <c r="D227" s="4">
        <f t="shared" si="42"/>
        <v>15.407243666043193</v>
      </c>
      <c r="E227" s="4"/>
      <c r="F227" s="1">
        <v>46009</v>
      </c>
      <c r="G227">
        <v>977.55</v>
      </c>
      <c r="H227">
        <f t="shared" si="37"/>
        <v>1.7420710150124832E-3</v>
      </c>
      <c r="I227">
        <f t="shared" si="43"/>
        <v>36.107827816451199</v>
      </c>
      <c r="K227" s="1">
        <v>46042</v>
      </c>
      <c r="L227" s="2">
        <v>1613.8</v>
      </c>
      <c r="M227" s="2">
        <f t="shared" si="38"/>
        <v>-3.6767339142891327E-2</v>
      </c>
      <c r="N227" s="2">
        <f t="shared" si="44"/>
        <v>13.713626707132024</v>
      </c>
      <c r="O227" s="2"/>
      <c r="P227" s="1">
        <v>46044</v>
      </c>
      <c r="Q227" s="2">
        <v>15765</v>
      </c>
      <c r="R227">
        <f t="shared" si="39"/>
        <v>-3.170577045022194E-4</v>
      </c>
      <c r="S227">
        <f t="shared" si="45"/>
        <v>26.740626463983972</v>
      </c>
      <c r="U227" s="1">
        <v>46045</v>
      </c>
      <c r="V227" s="2">
        <v>12369</v>
      </c>
      <c r="W227">
        <f t="shared" si="40"/>
        <v>4.0439987059204138E-4</v>
      </c>
      <c r="X227">
        <f t="shared" si="46"/>
        <v>26.045857202337409</v>
      </c>
      <c r="Z227" s="2">
        <f t="shared" si="47"/>
        <v>118.01518185594779</v>
      </c>
      <c r="AA227" s="3">
        <f t="shared" si="41"/>
        <v>-3.6198469444240766E-3</v>
      </c>
    </row>
    <row r="228" spans="1:27" x14ac:dyDescent="0.3">
      <c r="A228" s="1">
        <v>46036</v>
      </c>
      <c r="B228" s="2">
        <v>1599.8</v>
      </c>
      <c r="C228" s="4">
        <f t="shared" si="36"/>
        <v>5.0031269543461825E-4</v>
      </c>
      <c r="D228" s="4">
        <f t="shared" si="42"/>
        <v>15.414952105650968</v>
      </c>
      <c r="E228" s="4"/>
      <c r="F228" s="1">
        <v>46010</v>
      </c>
      <c r="G228">
        <v>980.3</v>
      </c>
      <c r="H228">
        <f t="shared" si="37"/>
        <v>2.8131553373228991E-3</v>
      </c>
      <c r="I228">
        <f t="shared" si="43"/>
        <v>36.209404744992185</v>
      </c>
      <c r="K228" s="1">
        <v>46043</v>
      </c>
      <c r="L228" s="2">
        <v>1612.9</v>
      </c>
      <c r="M228" s="2">
        <f t="shared" si="38"/>
        <v>-5.5768992440194799E-4</v>
      </c>
      <c r="N228" s="2">
        <f t="shared" si="44"/>
        <v>13.705978755690447</v>
      </c>
      <c r="O228" s="2"/>
      <c r="P228" s="1">
        <v>46045</v>
      </c>
      <c r="Q228" s="2">
        <v>15469</v>
      </c>
      <c r="R228">
        <f t="shared" si="39"/>
        <v>-1.8775769108785284E-2</v>
      </c>
      <c r="S228">
        <f t="shared" si="45"/>
        <v>26.238550635671935</v>
      </c>
      <c r="U228" s="1">
        <v>46049</v>
      </c>
      <c r="V228" s="2">
        <v>12589</v>
      </c>
      <c r="W228">
        <f t="shared" si="40"/>
        <v>1.7786401487589941E-2</v>
      </c>
      <c r="X228">
        <f t="shared" si="46"/>
        <v>26.509119275626617</v>
      </c>
      <c r="Z228" s="2">
        <f t="shared" si="47"/>
        <v>118.07800551763215</v>
      </c>
      <c r="AA228" s="3">
        <f t="shared" si="41"/>
        <v>5.3233542241248877E-4</v>
      </c>
    </row>
    <row r="229" spans="1:27" x14ac:dyDescent="0.3">
      <c r="A229" s="1">
        <v>46038</v>
      </c>
      <c r="B229" s="2">
        <v>1689.8</v>
      </c>
      <c r="C229" s="4">
        <f t="shared" si="36"/>
        <v>5.625703212901613E-2</v>
      </c>
      <c r="D229" s="4">
        <f t="shared" si="42"/>
        <v>16.282151561525819</v>
      </c>
      <c r="E229" s="4"/>
      <c r="F229" s="1">
        <v>46013</v>
      </c>
      <c r="G229">
        <v>974.3</v>
      </c>
      <c r="H229">
        <f t="shared" si="37"/>
        <v>-6.1205753340814037E-3</v>
      </c>
      <c r="I229">
        <f t="shared" si="43"/>
        <v>35.987782355448218</v>
      </c>
      <c r="K229" s="1">
        <v>46044</v>
      </c>
      <c r="L229" s="2">
        <v>1634.2</v>
      </c>
      <c r="M229" s="2">
        <f t="shared" si="38"/>
        <v>1.3206026412052796E-2</v>
      </c>
      <c r="N229" s="2">
        <f t="shared" si="44"/>
        <v>13.88698027314113</v>
      </c>
      <c r="O229" s="2"/>
      <c r="P229" s="1">
        <v>46049</v>
      </c>
      <c r="Q229" s="2">
        <v>15245</v>
      </c>
      <c r="R229">
        <f t="shared" si="39"/>
        <v>-1.4480574051328464E-2</v>
      </c>
      <c r="S229">
        <f t="shared" si="45"/>
        <v>25.858601360192559</v>
      </c>
      <c r="U229" s="1">
        <v>46050</v>
      </c>
      <c r="V229" s="2">
        <v>12767</v>
      </c>
      <c r="W229">
        <f t="shared" si="40"/>
        <v>1.413932798474859E-2</v>
      </c>
      <c r="X229">
        <f t="shared" si="46"/>
        <v>26.883940407651522</v>
      </c>
      <c r="Z229" s="2">
        <f t="shared" si="47"/>
        <v>118.89945595795925</v>
      </c>
      <c r="AA229" s="3">
        <f t="shared" si="41"/>
        <v>6.9568454914699096E-3</v>
      </c>
    </row>
    <row r="230" spans="1:27" x14ac:dyDescent="0.3">
      <c r="A230" s="1">
        <v>46041</v>
      </c>
      <c r="B230" s="2">
        <v>1681.2</v>
      </c>
      <c r="C230" s="4">
        <f t="shared" si="36"/>
        <v>-5.0893596875369327E-3</v>
      </c>
      <c r="D230" s="4">
        <f t="shared" si="42"/>
        <v>16.19928583574222</v>
      </c>
      <c r="E230" s="4"/>
      <c r="F230" s="1">
        <v>46014</v>
      </c>
      <c r="G230">
        <v>971.9</v>
      </c>
      <c r="H230">
        <f t="shared" si="37"/>
        <v>-2.4633069896335597E-3</v>
      </c>
      <c r="I230">
        <f t="shared" si="43"/>
        <v>35.899133399630628</v>
      </c>
      <c r="K230" s="1">
        <v>46045</v>
      </c>
      <c r="L230" s="2">
        <v>1631.9</v>
      </c>
      <c r="M230" s="2">
        <f t="shared" si="38"/>
        <v>-1.4074164728919069E-3</v>
      </c>
      <c r="N230" s="2">
        <f t="shared" si="44"/>
        <v>13.867435508345986</v>
      </c>
      <c r="O230" s="2"/>
      <c r="P230" s="1">
        <v>46050</v>
      </c>
      <c r="Q230" s="2">
        <v>14877</v>
      </c>
      <c r="R230">
        <f t="shared" si="39"/>
        <v>-2.4139061987536896E-2</v>
      </c>
      <c r="S230">
        <f t="shared" si="45"/>
        <v>25.234398979047864</v>
      </c>
      <c r="U230" s="1">
        <v>46051</v>
      </c>
      <c r="V230" s="2">
        <v>12717</v>
      </c>
      <c r="W230">
        <f t="shared" si="40"/>
        <v>-3.9163468316754128E-3</v>
      </c>
      <c r="X230">
        <f t="shared" si="46"/>
        <v>26.778653572813067</v>
      </c>
      <c r="Z230" s="2">
        <f t="shared" si="47"/>
        <v>117.97890729557977</v>
      </c>
      <c r="AA230" s="3">
        <f t="shared" si="41"/>
        <v>-7.7422445288981567E-3</v>
      </c>
    </row>
    <row r="231" spans="1:27" x14ac:dyDescent="0.3">
      <c r="A231" s="1">
        <v>46042</v>
      </c>
      <c r="B231" s="2">
        <v>1658.9</v>
      </c>
      <c r="C231" s="4">
        <f t="shared" si="36"/>
        <v>-1.3264334998810346E-2</v>
      </c>
      <c r="D231" s="4">
        <f t="shared" si="42"/>
        <v>15.984413081675452</v>
      </c>
      <c r="E231" s="4"/>
      <c r="F231" s="1">
        <v>46015</v>
      </c>
      <c r="G231">
        <v>968.95</v>
      </c>
      <c r="H231">
        <f t="shared" si="37"/>
        <v>-3.0352916966765427E-3</v>
      </c>
      <c r="I231">
        <f t="shared" si="43"/>
        <v>35.790169058104844</v>
      </c>
      <c r="K231" s="1">
        <v>46049</v>
      </c>
      <c r="L231" s="2">
        <v>1638.9</v>
      </c>
      <c r="M231" s="2">
        <f t="shared" si="38"/>
        <v>4.2894785219682579E-3</v>
      </c>
      <c r="N231" s="2">
        <f t="shared" si="44"/>
        <v>13.926919575113816</v>
      </c>
      <c r="O231" s="2"/>
      <c r="P231" s="1">
        <v>46051</v>
      </c>
      <c r="Q231" s="2">
        <v>14502</v>
      </c>
      <c r="R231">
        <f t="shared" si="39"/>
        <v>-2.5206694898164954E-2</v>
      </c>
      <c r="S231">
        <f t="shared" si="45"/>
        <v>24.598323183044439</v>
      </c>
      <c r="U231" s="1">
        <v>46052</v>
      </c>
      <c r="V231" s="2">
        <v>12694</v>
      </c>
      <c r="W231">
        <f t="shared" si="40"/>
        <v>-1.8086026578595581E-3</v>
      </c>
      <c r="X231">
        <f t="shared" si="46"/>
        <v>26.730221628787376</v>
      </c>
      <c r="Z231" s="2">
        <f t="shared" si="47"/>
        <v>117.03004652672593</v>
      </c>
      <c r="AA231" s="3">
        <f t="shared" si="41"/>
        <v>-8.0426305905394457E-3</v>
      </c>
    </row>
    <row r="232" spans="1:27" x14ac:dyDescent="0.3">
      <c r="A232" s="1">
        <v>46043</v>
      </c>
      <c r="B232" s="2">
        <v>1654.4</v>
      </c>
      <c r="C232" s="4">
        <f t="shared" si="36"/>
        <v>-2.7126409066248716E-3</v>
      </c>
      <c r="D232" s="4">
        <f t="shared" si="42"/>
        <v>15.941053108881711</v>
      </c>
      <c r="E232" s="4"/>
      <c r="F232" s="1">
        <v>46017</v>
      </c>
      <c r="G232">
        <v>966.3</v>
      </c>
      <c r="H232">
        <f t="shared" si="37"/>
        <v>-2.7349192424790656E-3</v>
      </c>
      <c r="I232">
        <f t="shared" si="43"/>
        <v>35.692285836056257</v>
      </c>
      <c r="K232" s="1">
        <v>46050</v>
      </c>
      <c r="L232" s="2">
        <v>1610.6</v>
      </c>
      <c r="M232" s="2">
        <f t="shared" si="38"/>
        <v>-1.7267679541155764E-2</v>
      </c>
      <c r="N232" s="2">
        <f t="shared" si="44"/>
        <v>13.686433990895303</v>
      </c>
      <c r="O232" s="2"/>
      <c r="P232" s="1">
        <v>46052</v>
      </c>
      <c r="Q232" s="2">
        <v>14599</v>
      </c>
      <c r="R232">
        <f t="shared" si="39"/>
        <v>6.6887325886084677E-3</v>
      </c>
      <c r="S232">
        <f t="shared" si="45"/>
        <v>24.76285478894399</v>
      </c>
      <c r="U232" s="1">
        <v>46054</v>
      </c>
      <c r="V232" s="2">
        <v>12284</v>
      </c>
      <c r="W232">
        <f t="shared" si="40"/>
        <v>-3.2298723806522767E-2</v>
      </c>
      <c r="X232">
        <f t="shared" si="46"/>
        <v>25.866869583112031</v>
      </c>
      <c r="Z232" s="2">
        <f t="shared" si="47"/>
        <v>115.9494973078893</v>
      </c>
      <c r="AA232" s="3">
        <f t="shared" si="41"/>
        <v>-9.2330922776302504E-3</v>
      </c>
    </row>
    <row r="233" spans="1:27" x14ac:dyDescent="0.3">
      <c r="A233" s="1">
        <v>46044</v>
      </c>
      <c r="B233" s="2">
        <v>1663.5</v>
      </c>
      <c r="C233" s="4">
        <f t="shared" si="36"/>
        <v>5.5004835589941422E-3</v>
      </c>
      <c r="D233" s="4">
        <f t="shared" si="42"/>
        <v>16.028736609420168</v>
      </c>
      <c r="E233" s="4"/>
      <c r="F233" s="1">
        <v>46020</v>
      </c>
      <c r="G233">
        <v>965.05</v>
      </c>
      <c r="H233">
        <f t="shared" si="37"/>
        <v>-1.2935941219083102E-3</v>
      </c>
      <c r="I233">
        <f t="shared" si="43"/>
        <v>35.646114504901263</v>
      </c>
      <c r="K233" s="1">
        <v>46051</v>
      </c>
      <c r="L233" s="2">
        <v>1589.3</v>
      </c>
      <c r="M233" s="2">
        <f t="shared" si="38"/>
        <v>-1.3224885135974144E-2</v>
      </c>
      <c r="N233" s="2">
        <f t="shared" si="44"/>
        <v>13.505432473444619</v>
      </c>
      <c r="O233" s="2"/>
      <c r="P233" s="1">
        <v>46054</v>
      </c>
      <c r="Q233" s="2">
        <v>14199</v>
      </c>
      <c r="R233">
        <f t="shared" si="39"/>
        <v>-2.7399136927186794E-2</v>
      </c>
      <c r="S233">
        <f t="shared" si="45"/>
        <v>24.084373939873672</v>
      </c>
      <c r="U233" s="1">
        <v>46055</v>
      </c>
      <c r="V233" s="2">
        <v>12535</v>
      </c>
      <c r="W233">
        <f t="shared" si="40"/>
        <v>2.0433083686095733E-2</v>
      </c>
      <c r="X233">
        <f t="shared" si="46"/>
        <v>26.395409494001083</v>
      </c>
      <c r="Z233" s="2">
        <f t="shared" si="47"/>
        <v>115.6600670216408</v>
      </c>
      <c r="AA233" s="3">
        <f t="shared" si="41"/>
        <v>-2.4961754295489413E-3</v>
      </c>
    </row>
    <row r="234" spans="1:27" x14ac:dyDescent="0.3">
      <c r="A234" s="1">
        <v>46045</v>
      </c>
      <c r="B234" s="2">
        <v>1670.8</v>
      </c>
      <c r="C234" s="4">
        <f t="shared" si="36"/>
        <v>4.3883378418995821E-3</v>
      </c>
      <c r="D234" s="4">
        <f t="shared" si="42"/>
        <v>16.099076120841129</v>
      </c>
      <c r="E234" s="4"/>
      <c r="F234" s="1">
        <v>46021</v>
      </c>
      <c r="G234">
        <v>973.45</v>
      </c>
      <c r="H234">
        <f t="shared" si="37"/>
        <v>8.70421221698367E-3</v>
      </c>
      <c r="I234">
        <f t="shared" si="43"/>
        <v>35.956385850262819</v>
      </c>
      <c r="K234" s="1">
        <v>46052</v>
      </c>
      <c r="L234" s="2">
        <v>1595.3</v>
      </c>
      <c r="M234" s="2">
        <f t="shared" si="38"/>
        <v>3.775246964072233E-3</v>
      </c>
      <c r="N234" s="2">
        <f t="shared" si="44"/>
        <v>13.556418816388472</v>
      </c>
      <c r="O234" s="2"/>
      <c r="P234" s="1">
        <v>46055</v>
      </c>
      <c r="Q234" s="2">
        <v>14384</v>
      </c>
      <c r="R234">
        <f t="shared" si="39"/>
        <v>1.3029086555391225E-2</v>
      </c>
      <c r="S234">
        <f t="shared" si="45"/>
        <v>24.398171332568694</v>
      </c>
      <c r="U234" s="1">
        <v>46056</v>
      </c>
      <c r="V234" s="2">
        <v>12590</v>
      </c>
      <c r="W234">
        <f t="shared" si="40"/>
        <v>4.3877143996808934E-3</v>
      </c>
      <c r="X234">
        <f t="shared" si="46"/>
        <v>26.511225012323386</v>
      </c>
      <c r="Z234" s="2">
        <f t="shared" si="47"/>
        <v>116.52127713238451</v>
      </c>
      <c r="AA234" s="3">
        <f t="shared" si="41"/>
        <v>7.4460454063420833E-3</v>
      </c>
    </row>
    <row r="235" spans="1:27" x14ac:dyDescent="0.3">
      <c r="A235" s="1">
        <v>46049</v>
      </c>
      <c r="B235" s="2">
        <v>1682.7</v>
      </c>
      <c r="C235" s="4">
        <f t="shared" si="36"/>
        <v>7.1223366052191118E-3</v>
      </c>
      <c r="D235" s="4">
        <f t="shared" si="42"/>
        <v>16.213739160006806</v>
      </c>
      <c r="E235" s="4"/>
      <c r="F235" s="1">
        <v>46022</v>
      </c>
      <c r="G235">
        <v>982.2</v>
      </c>
      <c r="H235">
        <f t="shared" si="37"/>
        <v>8.9886486208844828E-3</v>
      </c>
      <c r="I235">
        <f t="shared" si="43"/>
        <v>36.279585168347779</v>
      </c>
      <c r="K235" s="1">
        <v>46054</v>
      </c>
      <c r="L235" s="2">
        <v>1610.1</v>
      </c>
      <c r="M235" s="2">
        <f t="shared" si="38"/>
        <v>9.2772519275371116E-3</v>
      </c>
      <c r="N235" s="2">
        <f t="shared" si="44"/>
        <v>13.682185128983312</v>
      </c>
      <c r="O235" s="2"/>
      <c r="P235" s="1">
        <v>46056</v>
      </c>
      <c r="Q235" s="2">
        <v>14782</v>
      </c>
      <c r="R235">
        <f t="shared" si="39"/>
        <v>2.7669632925472747E-2</v>
      </c>
      <c r="S235">
        <f t="shared" si="45"/>
        <v>25.073259777393659</v>
      </c>
      <c r="U235" s="1">
        <v>46057</v>
      </c>
      <c r="V235" s="2">
        <v>12806</v>
      </c>
      <c r="W235">
        <f t="shared" si="40"/>
        <v>1.7156473391580621E-2</v>
      </c>
      <c r="X235">
        <f t="shared" si="46"/>
        <v>26.966064138825516</v>
      </c>
      <c r="Z235" s="2">
        <f t="shared" si="47"/>
        <v>118.21483337355707</v>
      </c>
      <c r="AA235" s="3">
        <f t="shared" si="41"/>
        <v>1.4534308950703068E-2</v>
      </c>
    </row>
    <row r="236" spans="1:27" x14ac:dyDescent="0.3">
      <c r="A236" s="1">
        <v>46050</v>
      </c>
      <c r="B236" s="2">
        <v>1666.5</v>
      </c>
      <c r="C236" s="4">
        <f t="shared" si="36"/>
        <v>-9.6273845605277502E-3</v>
      </c>
      <c r="D236" s="4">
        <f t="shared" si="42"/>
        <v>16.057643257949334</v>
      </c>
      <c r="E236" s="4"/>
      <c r="F236" s="1">
        <v>46023</v>
      </c>
      <c r="G236">
        <v>984.75</v>
      </c>
      <c r="H236">
        <f t="shared" si="37"/>
        <v>2.5962125839950668E-3</v>
      </c>
      <c r="I236">
        <f t="shared" si="43"/>
        <v>36.373774683903967</v>
      </c>
      <c r="K236" s="1">
        <v>46055</v>
      </c>
      <c r="L236" s="2">
        <v>1627.9</v>
      </c>
      <c r="M236" s="2">
        <f t="shared" si="38"/>
        <v>1.1055213961865836E-2</v>
      </c>
      <c r="N236" s="2">
        <f t="shared" si="44"/>
        <v>13.83344461305008</v>
      </c>
      <c r="O236" s="2"/>
      <c r="P236" s="1">
        <v>46057</v>
      </c>
      <c r="Q236" s="2">
        <v>15071</v>
      </c>
      <c r="R236">
        <f t="shared" si="39"/>
        <v>1.9550805033148422E-2</v>
      </c>
      <c r="S236">
        <f t="shared" si="45"/>
        <v>25.563462190846963</v>
      </c>
      <c r="U236" s="1">
        <v>46058</v>
      </c>
      <c r="V236" s="2">
        <v>12773</v>
      </c>
      <c r="W236">
        <f t="shared" si="40"/>
        <v>-2.5769170701233795E-3</v>
      </c>
      <c r="X236">
        <f t="shared" si="46"/>
        <v>26.896574827832133</v>
      </c>
      <c r="Z236" s="2">
        <f t="shared" si="47"/>
        <v>118.72489957358246</v>
      </c>
      <c r="AA236" s="3">
        <f t="shared" si="41"/>
        <v>4.3147394068017153E-3</v>
      </c>
    </row>
    <row r="237" spans="1:27" x14ac:dyDescent="0.3">
      <c r="A237" s="1">
        <v>46051</v>
      </c>
      <c r="B237" s="2">
        <v>1659.5</v>
      </c>
      <c r="C237" s="4">
        <f t="shared" si="36"/>
        <v>-4.2004200420042003E-3</v>
      </c>
      <c r="D237" s="4">
        <f t="shared" si="42"/>
        <v>15.990194411381291</v>
      </c>
      <c r="E237" s="4"/>
      <c r="F237" s="1">
        <v>46024</v>
      </c>
      <c r="G237">
        <v>998.95</v>
      </c>
      <c r="H237">
        <f t="shared" si="37"/>
        <v>1.4419903528814466E-2</v>
      </c>
      <c r="I237">
        <f t="shared" si="43"/>
        <v>36.898281005824693</v>
      </c>
      <c r="K237" s="1">
        <v>46056</v>
      </c>
      <c r="L237" s="2">
        <v>1702.1</v>
      </c>
      <c r="M237" s="2">
        <f t="shared" si="38"/>
        <v>4.5580195343694216E-2</v>
      </c>
      <c r="N237" s="2">
        <f t="shared" si="44"/>
        <v>14.463975720789078</v>
      </c>
      <c r="O237" s="2"/>
      <c r="P237" s="1">
        <v>46058</v>
      </c>
      <c r="Q237" s="2">
        <v>15059</v>
      </c>
      <c r="R237">
        <f t="shared" si="39"/>
        <v>-7.962311724504014E-4</v>
      </c>
      <c r="S237">
        <f t="shared" si="45"/>
        <v>25.543107765374852</v>
      </c>
      <c r="U237" s="1">
        <v>46059</v>
      </c>
      <c r="V237" s="2">
        <v>12722</v>
      </c>
      <c r="W237">
        <f t="shared" si="40"/>
        <v>-3.9927973068190712E-3</v>
      </c>
      <c r="X237">
        <f t="shared" si="46"/>
        <v>26.789182256296908</v>
      </c>
      <c r="Z237" s="2">
        <f t="shared" si="47"/>
        <v>119.68474115966683</v>
      </c>
      <c r="AA237" s="3">
        <f t="shared" si="41"/>
        <v>8.0845853694699876E-3</v>
      </c>
    </row>
    <row r="238" spans="1:27" x14ac:dyDescent="0.3">
      <c r="A238" s="1">
        <v>46052</v>
      </c>
      <c r="B238" s="2">
        <v>1641</v>
      </c>
      <c r="C238" s="4">
        <f t="shared" si="36"/>
        <v>-1.1147936125338957E-2</v>
      </c>
      <c r="D238" s="4">
        <f t="shared" si="42"/>
        <v>15.81193674545146</v>
      </c>
      <c r="E238" s="4"/>
      <c r="F238" s="1">
        <v>46027</v>
      </c>
      <c r="G238" s="2">
        <v>1005.55</v>
      </c>
      <c r="H238">
        <f t="shared" si="37"/>
        <v>6.6069372841482642E-3</v>
      </c>
      <c r="I238">
        <f t="shared" si="43"/>
        <v>37.142065634323053</v>
      </c>
      <c r="K238" s="1">
        <v>46057</v>
      </c>
      <c r="L238" s="2">
        <v>1704.4</v>
      </c>
      <c r="M238" s="2">
        <f t="shared" si="38"/>
        <v>1.3512719581694273E-3</v>
      </c>
      <c r="N238" s="2">
        <f t="shared" si="44"/>
        <v>14.483520485584224</v>
      </c>
      <c r="O238" s="2"/>
      <c r="P238" s="1">
        <v>46059</v>
      </c>
      <c r="Q238" s="2">
        <v>14997</v>
      </c>
      <c r="R238">
        <f t="shared" si="39"/>
        <v>-4.1171392522743877E-3</v>
      </c>
      <c r="S238">
        <f t="shared" si="45"/>
        <v>25.437943233768952</v>
      </c>
      <c r="U238" s="1">
        <v>46062</v>
      </c>
      <c r="V238" s="2">
        <v>13048</v>
      </c>
      <c r="W238">
        <f t="shared" si="40"/>
        <v>2.5624901745008647E-2</v>
      </c>
      <c r="X238">
        <f t="shared" si="46"/>
        <v>27.475652419443648</v>
      </c>
      <c r="Z238" s="2">
        <f t="shared" si="47"/>
        <v>120.35111851857134</v>
      </c>
      <c r="AA238" s="3">
        <f t="shared" si="41"/>
        <v>5.5677720689182308E-3</v>
      </c>
    </row>
    <row r="239" spans="1:27" x14ac:dyDescent="0.3">
      <c r="A239" s="1">
        <v>46054</v>
      </c>
      <c r="B239" s="2">
        <v>1654.5</v>
      </c>
      <c r="C239" s="4">
        <f t="shared" si="36"/>
        <v>8.2266910420475316E-3</v>
      </c>
      <c r="D239" s="4">
        <f t="shared" si="42"/>
        <v>15.942016663832685</v>
      </c>
      <c r="E239" s="4"/>
      <c r="F239" s="1">
        <v>46028</v>
      </c>
      <c r="G239" s="2">
        <v>1018.9</v>
      </c>
      <c r="H239">
        <f t="shared" si="37"/>
        <v>1.3276316443737281E-2</v>
      </c>
      <c r="I239">
        <f t="shared" si="43"/>
        <v>37.635175451058387</v>
      </c>
      <c r="K239" s="1">
        <v>46058</v>
      </c>
      <c r="L239" s="2">
        <v>1702.6</v>
      </c>
      <c r="M239" s="2">
        <f t="shared" si="38"/>
        <v>-1.0560901196903201E-3</v>
      </c>
      <c r="N239" s="2">
        <f t="shared" si="44"/>
        <v>14.468224582701065</v>
      </c>
      <c r="O239" s="2"/>
      <c r="P239" s="1">
        <v>46062</v>
      </c>
      <c r="Q239" s="2">
        <v>14978</v>
      </c>
      <c r="R239">
        <f t="shared" si="39"/>
        <v>-1.2669200506768021E-3</v>
      </c>
      <c r="S239">
        <f t="shared" si="45"/>
        <v>25.405715393438111</v>
      </c>
      <c r="U239" s="1">
        <v>46063</v>
      </c>
      <c r="V239" s="2">
        <v>13023</v>
      </c>
      <c r="W239">
        <f t="shared" si="40"/>
        <v>-1.9160024524831393E-3</v>
      </c>
      <c r="X239">
        <f t="shared" si="46"/>
        <v>27.423009002024418</v>
      </c>
      <c r="Z239" s="2">
        <f t="shared" si="47"/>
        <v>120.87414109305467</v>
      </c>
      <c r="AA239" s="3">
        <f t="shared" si="41"/>
        <v>4.3458056802574418E-3</v>
      </c>
    </row>
    <row r="240" spans="1:27" x14ac:dyDescent="0.3">
      <c r="A240" s="1">
        <v>46055</v>
      </c>
      <c r="B240" s="2">
        <v>1629.4</v>
      </c>
      <c r="C240" s="4">
        <f t="shared" si="36"/>
        <v>-1.5170746449078216E-2</v>
      </c>
      <c r="D240" s="4">
        <f t="shared" si="42"/>
        <v>15.700164371138699</v>
      </c>
      <c r="E240" s="4"/>
      <c r="F240" s="1">
        <v>46029</v>
      </c>
      <c r="G240" s="2">
        <v>1007.15</v>
      </c>
      <c r="H240">
        <f t="shared" si="37"/>
        <v>-1.1532044361566395E-2</v>
      </c>
      <c r="I240">
        <f t="shared" si="43"/>
        <v>37.201164938201444</v>
      </c>
      <c r="K240" s="1">
        <v>46059</v>
      </c>
      <c r="L240" s="2">
        <v>1695.1</v>
      </c>
      <c r="M240" s="2">
        <f t="shared" si="38"/>
        <v>-4.4050276048396573E-3</v>
      </c>
      <c r="N240" s="2">
        <f t="shared" si="44"/>
        <v>14.404491654021248</v>
      </c>
      <c r="O240" s="2"/>
      <c r="P240" s="1">
        <v>46063</v>
      </c>
      <c r="Q240" s="2">
        <v>15146</v>
      </c>
      <c r="R240">
        <f t="shared" si="39"/>
        <v>1.1216450794498598E-2</v>
      </c>
      <c r="S240">
        <f t="shared" si="45"/>
        <v>25.690677350047643</v>
      </c>
      <c r="U240" s="1">
        <v>46064</v>
      </c>
      <c r="V240" s="2">
        <v>12969</v>
      </c>
      <c r="W240">
        <f t="shared" si="40"/>
        <v>-4.1465100207325502E-3</v>
      </c>
      <c r="X240">
        <f t="shared" si="46"/>
        <v>27.309299220398888</v>
      </c>
      <c r="Z240" s="2">
        <f t="shared" si="47"/>
        <v>120.30579753380792</v>
      </c>
      <c r="AA240" s="3">
        <f t="shared" si="41"/>
        <v>-4.7019449661215296E-3</v>
      </c>
    </row>
    <row r="241" spans="1:27" x14ac:dyDescent="0.3">
      <c r="A241" s="1">
        <v>46056</v>
      </c>
      <c r="B241" s="2">
        <v>1656</v>
      </c>
      <c r="C241" s="4">
        <f t="shared" si="36"/>
        <v>1.6325027617527868E-2</v>
      </c>
      <c r="D241" s="4">
        <f t="shared" si="42"/>
        <v>15.956469988097266</v>
      </c>
      <c r="E241" s="4"/>
      <c r="F241" s="1">
        <v>46030</v>
      </c>
      <c r="G241">
        <v>998</v>
      </c>
      <c r="H241">
        <f t="shared" si="37"/>
        <v>-9.0850419500570698E-3</v>
      </c>
      <c r="I241">
        <f t="shared" si="43"/>
        <v>36.863190794146888</v>
      </c>
      <c r="K241" s="1">
        <v>46062</v>
      </c>
      <c r="L241" s="2">
        <v>1704.6</v>
      </c>
      <c r="M241" s="2">
        <f t="shared" si="38"/>
        <v>5.6043891215857471E-3</v>
      </c>
      <c r="N241" s="2">
        <f t="shared" si="44"/>
        <v>14.485220030349018</v>
      </c>
      <c r="O241" s="2"/>
      <c r="P241" s="1">
        <v>46064</v>
      </c>
      <c r="Q241" s="2">
        <v>15412</v>
      </c>
      <c r="R241">
        <f t="shared" si="39"/>
        <v>1.7562392710946784E-2</v>
      </c>
      <c r="S241">
        <f t="shared" si="45"/>
        <v>26.141867114679403</v>
      </c>
      <c r="U241" s="1">
        <v>46065</v>
      </c>
      <c r="V241" s="2">
        <v>13029</v>
      </c>
      <c r="W241">
        <f t="shared" si="40"/>
        <v>4.6264168401572983E-3</v>
      </c>
      <c r="X241">
        <f t="shared" si="46"/>
        <v>27.435643422205036</v>
      </c>
      <c r="Z241" s="2">
        <f t="shared" si="47"/>
        <v>120.8823913494776</v>
      </c>
      <c r="AA241" s="3">
        <f t="shared" si="41"/>
        <v>4.7927350758607545E-3</v>
      </c>
    </row>
    <row r="242" spans="1:27" x14ac:dyDescent="0.3">
      <c r="A242" s="1">
        <v>46057</v>
      </c>
      <c r="B242" s="2">
        <v>1535.8</v>
      </c>
      <c r="C242" s="4">
        <f t="shared" si="36"/>
        <v>-7.258454106280196E-2</v>
      </c>
      <c r="D242" s="4">
        <f t="shared" si="42"/>
        <v>14.798276937028852</v>
      </c>
      <c r="E242" s="4"/>
      <c r="F242" s="1">
        <v>46031</v>
      </c>
      <c r="G242" s="2">
        <v>1000.5</v>
      </c>
      <c r="H242">
        <f t="shared" si="37"/>
        <v>2.5050100200400801E-3</v>
      </c>
      <c r="I242">
        <f t="shared" si="43"/>
        <v>36.955533456456877</v>
      </c>
      <c r="K242" s="1">
        <v>46063</v>
      </c>
      <c r="L242" s="2">
        <v>1707.8</v>
      </c>
      <c r="M242" s="2">
        <f t="shared" si="38"/>
        <v>1.8772732605890213E-3</v>
      </c>
      <c r="N242" s="2">
        <f t="shared" si="44"/>
        <v>14.512412746585738</v>
      </c>
      <c r="O242" s="2"/>
      <c r="P242" s="1">
        <v>46065</v>
      </c>
      <c r="Q242" s="2">
        <v>15326</v>
      </c>
      <c r="R242">
        <f t="shared" si="39"/>
        <v>-5.5800674798858032E-3</v>
      </c>
      <c r="S242">
        <f t="shared" si="45"/>
        <v>25.995993732129286</v>
      </c>
      <c r="U242" s="1">
        <v>46066</v>
      </c>
      <c r="V242" s="2">
        <v>12963</v>
      </c>
      <c r="W242">
        <f t="shared" si="40"/>
        <v>-5.0656228413539029E-3</v>
      </c>
      <c r="X242">
        <f t="shared" si="46"/>
        <v>27.296664800218274</v>
      </c>
      <c r="Z242" s="2">
        <f t="shared" si="47"/>
        <v>119.55888167241903</v>
      </c>
      <c r="AA242" s="3">
        <f t="shared" si="41"/>
        <v>-1.0948738375238021E-2</v>
      </c>
    </row>
    <row r="243" spans="1:27" x14ac:dyDescent="0.3">
      <c r="A243" s="1">
        <v>46058</v>
      </c>
      <c r="B243" s="2">
        <v>1520.2</v>
      </c>
      <c r="C243" s="4">
        <f t="shared" si="36"/>
        <v>-1.0157572600598977E-2</v>
      </c>
      <c r="D243" s="4">
        <f t="shared" si="42"/>
        <v>14.647962364677211</v>
      </c>
      <c r="E243" s="4"/>
      <c r="F243" s="1">
        <v>46034</v>
      </c>
      <c r="G243" s="2">
        <v>1015.15</v>
      </c>
      <c r="H243">
        <f t="shared" si="37"/>
        <v>1.4642678660669643E-2</v>
      </c>
      <c r="I243">
        <f t="shared" si="43"/>
        <v>37.496661457593405</v>
      </c>
      <c r="K243" s="1">
        <v>46064</v>
      </c>
      <c r="L243" s="2">
        <v>1711.1</v>
      </c>
      <c r="M243" s="2">
        <f t="shared" si="38"/>
        <v>1.9323105750087566E-3</v>
      </c>
      <c r="N243" s="2">
        <f t="shared" si="44"/>
        <v>14.54045523520486</v>
      </c>
      <c r="O243" s="2"/>
      <c r="P243" s="1">
        <v>46066</v>
      </c>
      <c r="Q243" s="2">
        <v>15237</v>
      </c>
      <c r="R243">
        <f t="shared" si="39"/>
        <v>-5.807125146809344E-3</v>
      </c>
      <c r="S243">
        <f t="shared" si="45"/>
        <v>25.845031743211138</v>
      </c>
      <c r="U243" s="1">
        <v>46069</v>
      </c>
      <c r="V243" s="2">
        <v>12981</v>
      </c>
      <c r="W243">
        <f t="shared" si="40"/>
        <v>1.388567461235825E-3</v>
      </c>
      <c r="X243">
        <f t="shared" si="46"/>
        <v>27.334568060760116</v>
      </c>
      <c r="Z243" s="2">
        <f t="shared" si="47"/>
        <v>119.86467886144673</v>
      </c>
      <c r="AA243" s="3">
        <f t="shared" si="41"/>
        <v>2.5577120223116978E-3</v>
      </c>
    </row>
    <row r="244" spans="1:27" x14ac:dyDescent="0.3">
      <c r="A244" s="1">
        <v>46059</v>
      </c>
      <c r="B244" s="2">
        <v>1507.1</v>
      </c>
      <c r="C244" s="4">
        <f t="shared" si="36"/>
        <v>-8.6172871990528449E-3</v>
      </c>
      <c r="D244" s="4">
        <f t="shared" si="42"/>
        <v>14.521736666099869</v>
      </c>
      <c r="E244" s="4"/>
      <c r="F244" s="1">
        <v>46035</v>
      </c>
      <c r="G244" s="2">
        <v>1028.45</v>
      </c>
      <c r="H244">
        <f t="shared" si="37"/>
        <v>1.310151209180916E-2</v>
      </c>
      <c r="I244">
        <f t="shared" si="43"/>
        <v>37.987924421082539</v>
      </c>
      <c r="K244" s="1">
        <v>46065</v>
      </c>
      <c r="L244" s="2">
        <v>1714.9</v>
      </c>
      <c r="M244" s="2">
        <f t="shared" si="38"/>
        <v>2.220793641517259E-3</v>
      </c>
      <c r="N244" s="2">
        <f t="shared" si="44"/>
        <v>14.572746585735969</v>
      </c>
      <c r="O244" s="2"/>
      <c r="P244" s="1">
        <v>46069</v>
      </c>
      <c r="Q244" s="2">
        <v>15051</v>
      </c>
      <c r="R244">
        <f t="shared" si="39"/>
        <v>-1.2207127387280961E-2</v>
      </c>
      <c r="S244">
        <f t="shared" si="45"/>
        <v>25.529538148393442</v>
      </c>
      <c r="U244" s="1">
        <v>46070</v>
      </c>
      <c r="V244" s="2">
        <v>12984</v>
      </c>
      <c r="W244">
        <f t="shared" si="40"/>
        <v>2.3110700254217703E-4</v>
      </c>
      <c r="X244">
        <f t="shared" si="46"/>
        <v>27.340885270850425</v>
      </c>
      <c r="Z244" s="2">
        <f t="shared" si="47"/>
        <v>119.95283109216224</v>
      </c>
      <c r="AA244" s="3">
        <f t="shared" si="41"/>
        <v>7.3543125091424244E-4</v>
      </c>
    </row>
    <row r="245" spans="1:27" x14ac:dyDescent="0.3">
      <c r="A245" s="1">
        <v>46062</v>
      </c>
      <c r="B245" s="2">
        <v>1497.2</v>
      </c>
      <c r="C245" s="4">
        <f t="shared" si="36"/>
        <v>-6.5689071727157216E-3</v>
      </c>
      <c r="D245" s="4">
        <f t="shared" si="42"/>
        <v>14.426344725953637</v>
      </c>
      <c r="E245" s="4"/>
      <c r="F245" s="1">
        <v>46036</v>
      </c>
      <c r="G245" s="2">
        <v>1028.3499999999999</v>
      </c>
      <c r="H245">
        <f t="shared" si="37"/>
        <v>-9.7233701200968853E-5</v>
      </c>
      <c r="I245">
        <f t="shared" si="43"/>
        <v>37.984230714590133</v>
      </c>
      <c r="K245" s="1">
        <v>46066</v>
      </c>
      <c r="L245" s="2">
        <v>1697.5</v>
      </c>
      <c r="M245" s="2">
        <f t="shared" si="38"/>
        <v>-1.014636421948807E-2</v>
      </c>
      <c r="N245" s="2">
        <f t="shared" si="44"/>
        <v>14.424886191198789</v>
      </c>
      <c r="O245" s="2"/>
      <c r="P245" s="1">
        <v>46070</v>
      </c>
      <c r="Q245" s="2">
        <v>15179</v>
      </c>
      <c r="R245">
        <f t="shared" si="39"/>
        <v>8.5044183110756753E-3</v>
      </c>
      <c r="S245">
        <f t="shared" si="45"/>
        <v>25.746652020095944</v>
      </c>
      <c r="U245" s="1">
        <v>46071</v>
      </c>
      <c r="V245" s="2">
        <v>13052</v>
      </c>
      <c r="W245">
        <f t="shared" si="40"/>
        <v>5.2372150338878621E-3</v>
      </c>
      <c r="X245">
        <f t="shared" si="46"/>
        <v>27.48407536623073</v>
      </c>
      <c r="Z245" s="2">
        <f t="shared" si="47"/>
        <v>120.06618901806924</v>
      </c>
      <c r="AA245" s="3">
        <f t="shared" si="41"/>
        <v>9.450208459014231E-4</v>
      </c>
    </row>
    <row r="246" spans="1:27" x14ac:dyDescent="0.3">
      <c r="A246" s="1">
        <v>46063</v>
      </c>
      <c r="B246" s="2">
        <v>1497.8</v>
      </c>
      <c r="C246" s="4">
        <f t="shared" si="36"/>
        <v>4.0074806305096785E-4</v>
      </c>
      <c r="D246" s="4">
        <f t="shared" si="42"/>
        <v>14.432126055659468</v>
      </c>
      <c r="E246" s="4"/>
      <c r="F246" s="1">
        <v>46038</v>
      </c>
      <c r="G246" s="2">
        <v>1042.3</v>
      </c>
      <c r="H246">
        <f t="shared" si="37"/>
        <v>1.3565420333544072E-2</v>
      </c>
      <c r="I246">
        <f t="shared" si="43"/>
        <v>38.499502770279861</v>
      </c>
      <c r="K246" s="1">
        <v>46069</v>
      </c>
      <c r="L246" s="2">
        <v>1700.5</v>
      </c>
      <c r="M246" s="2">
        <f t="shared" si="38"/>
        <v>1.7673048600883653E-3</v>
      </c>
      <c r="N246" s="2">
        <f t="shared" si="44"/>
        <v>14.450379362670716</v>
      </c>
      <c r="O246" s="2"/>
      <c r="P246" s="1">
        <v>46071</v>
      </c>
      <c r="Q246" s="2">
        <v>15164</v>
      </c>
      <c r="R246">
        <f t="shared" si="39"/>
        <v>-9.8820739179129066E-4</v>
      </c>
      <c r="S246">
        <f t="shared" si="45"/>
        <v>25.721208988255807</v>
      </c>
      <c r="U246" s="1">
        <v>46072</v>
      </c>
      <c r="V246" s="2">
        <v>12688</v>
      </c>
      <c r="W246">
        <f t="shared" si="40"/>
        <v>-2.7888446215139442E-2</v>
      </c>
      <c r="X246">
        <f t="shared" si="46"/>
        <v>26.717587208606766</v>
      </c>
      <c r="Z246" s="2">
        <f t="shared" si="47"/>
        <v>119.82080438547263</v>
      </c>
      <c r="AA246" s="3">
        <f t="shared" si="41"/>
        <v>-2.043744659536717E-3</v>
      </c>
    </row>
    <row r="247" spans="1:27" x14ac:dyDescent="0.3">
      <c r="A247" s="1">
        <v>46064</v>
      </c>
      <c r="B247" s="2">
        <v>1471.9</v>
      </c>
      <c r="C247" s="4">
        <f t="shared" si="36"/>
        <v>-1.7292028308185249E-2</v>
      </c>
      <c r="D247" s="4">
        <f t="shared" si="42"/>
        <v>14.182565323357707</v>
      </c>
      <c r="E247" s="4"/>
      <c r="F247" s="1">
        <v>46041</v>
      </c>
      <c r="G247" s="2">
        <v>1038.4000000000001</v>
      </c>
      <c r="H247">
        <f t="shared" si="37"/>
        <v>-3.7417250311809112E-3</v>
      </c>
      <c r="I247">
        <f t="shared" si="43"/>
        <v>38.355448217076287</v>
      </c>
      <c r="K247" s="1">
        <v>46070</v>
      </c>
      <c r="L247" s="2">
        <v>1717.1</v>
      </c>
      <c r="M247" s="2">
        <f t="shared" si="38"/>
        <v>9.761834754483922E-3</v>
      </c>
      <c r="N247" s="2">
        <f t="shared" si="44"/>
        <v>14.591441578148713</v>
      </c>
      <c r="O247" s="2"/>
      <c r="P247" s="1">
        <v>46072</v>
      </c>
      <c r="Q247" s="2">
        <v>14903</v>
      </c>
      <c r="R247">
        <f t="shared" si="39"/>
        <v>-1.7211817462410975E-2</v>
      </c>
      <c r="S247">
        <f t="shared" si="45"/>
        <v>25.278500234237423</v>
      </c>
      <c r="U247" s="1">
        <v>46073</v>
      </c>
      <c r="V247" s="2">
        <v>12766</v>
      </c>
      <c r="W247">
        <f t="shared" si="40"/>
        <v>6.1475409836065573E-3</v>
      </c>
      <c r="X247">
        <f t="shared" si="46"/>
        <v>26.881834670954756</v>
      </c>
      <c r="Z247" s="2">
        <f t="shared" si="47"/>
        <v>119.2897900237749</v>
      </c>
      <c r="AA247" s="3">
        <f t="shared" si="41"/>
        <v>-4.4317375803071268E-3</v>
      </c>
    </row>
    <row r="248" spans="1:27" x14ac:dyDescent="0.3">
      <c r="A248" s="1">
        <v>46065</v>
      </c>
      <c r="B248" s="2">
        <v>1386</v>
      </c>
      <c r="C248" s="4">
        <f t="shared" si="36"/>
        <v>-5.8359942930905691E-2</v>
      </c>
      <c r="D248" s="4">
        <f t="shared" si="42"/>
        <v>13.354871620472709</v>
      </c>
      <c r="E248" s="4"/>
      <c r="F248" s="1">
        <v>46042</v>
      </c>
      <c r="G248" s="2">
        <v>1036.4000000000001</v>
      </c>
      <c r="H248">
        <f t="shared" si="37"/>
        <v>-1.9260400616332818E-3</v>
      </c>
      <c r="I248">
        <f t="shared" si="43"/>
        <v>38.281574087228293</v>
      </c>
      <c r="K248" s="1">
        <v>46071</v>
      </c>
      <c r="L248" s="2">
        <v>1724.4</v>
      </c>
      <c r="M248" s="2">
        <f t="shared" si="38"/>
        <v>4.2513540271388863E-3</v>
      </c>
      <c r="N248" s="2">
        <f t="shared" si="44"/>
        <v>14.653474962063738</v>
      </c>
      <c r="O248" s="2"/>
      <c r="P248" s="1">
        <v>46073</v>
      </c>
      <c r="Q248" s="2">
        <v>14977</v>
      </c>
      <c r="R248">
        <f t="shared" si="39"/>
        <v>4.9654431993558347E-3</v>
      </c>
      <c r="S248">
        <f t="shared" si="45"/>
        <v>25.404019191315431</v>
      </c>
      <c r="U248" s="1">
        <v>46076</v>
      </c>
      <c r="V248" s="2">
        <v>12976</v>
      </c>
      <c r="W248">
        <f t="shared" si="40"/>
        <v>1.6449945166849445E-2</v>
      </c>
      <c r="X248">
        <f t="shared" si="46"/>
        <v>27.324039377276272</v>
      </c>
      <c r="Z248" s="2">
        <f t="shared" si="47"/>
        <v>119.01797923835645</v>
      </c>
      <c r="AA248" s="3">
        <f t="shared" si="41"/>
        <v>-2.2785754368774835E-3</v>
      </c>
    </row>
    <row r="249" spans="1:27" x14ac:dyDescent="0.3">
      <c r="A249" s="1">
        <v>46066</v>
      </c>
      <c r="B249" s="2">
        <v>1369.1</v>
      </c>
      <c r="C249" s="4">
        <f t="shared" si="36"/>
        <v>-1.2193362193362259E-2</v>
      </c>
      <c r="D249" s="4">
        <f t="shared" si="42"/>
        <v>13.19203083375843</v>
      </c>
      <c r="E249" s="4"/>
      <c r="F249" s="1">
        <v>46043</v>
      </c>
      <c r="G249" s="2">
        <v>1028.6500000000001</v>
      </c>
      <c r="H249">
        <f t="shared" si="37"/>
        <v>-7.4778077962176755E-3</v>
      </c>
      <c r="I249">
        <f t="shared" si="43"/>
        <v>37.995311834067337</v>
      </c>
      <c r="K249" s="1">
        <v>46072</v>
      </c>
      <c r="L249" s="2">
        <v>1713.4</v>
      </c>
      <c r="M249" s="2">
        <f t="shared" si="38"/>
        <v>-6.3790303873811176E-3</v>
      </c>
      <c r="N249" s="2">
        <f t="shared" si="44"/>
        <v>14.560000000000006</v>
      </c>
      <c r="O249" s="2"/>
      <c r="P249" s="1">
        <v>46076</v>
      </c>
      <c r="Q249" s="2">
        <v>15072</v>
      </c>
      <c r="R249">
        <f t="shared" si="39"/>
        <v>6.343059357681779E-3</v>
      </c>
      <c r="S249">
        <f t="shared" si="45"/>
        <v>25.565158392969636</v>
      </c>
      <c r="U249" s="1">
        <v>46077</v>
      </c>
      <c r="V249" s="2">
        <v>12960</v>
      </c>
      <c r="W249">
        <f t="shared" si="40"/>
        <v>-1.2330456226880395E-3</v>
      </c>
      <c r="X249">
        <f t="shared" si="46"/>
        <v>27.290347590127965</v>
      </c>
      <c r="Z249" s="2">
        <f t="shared" si="47"/>
        <v>118.60284865092338</v>
      </c>
      <c r="AA249" s="3">
        <f t="shared" si="41"/>
        <v>-3.4879653485100359E-3</v>
      </c>
    </row>
    <row r="250" spans="1:27" x14ac:dyDescent="0.3">
      <c r="A250" s="1">
        <v>46069</v>
      </c>
      <c r="B250" s="2">
        <v>1365.6</v>
      </c>
      <c r="C250" s="4">
        <f t="shared" si="36"/>
        <v>-2.5564239281279677E-3</v>
      </c>
      <c r="D250" s="4">
        <f t="shared" si="42"/>
        <v>13.158306410474408</v>
      </c>
      <c r="E250" s="4"/>
      <c r="F250" s="1">
        <v>46044</v>
      </c>
      <c r="G250" s="2">
        <v>1048.3499999999999</v>
      </c>
      <c r="H250">
        <f t="shared" si="37"/>
        <v>1.9151314830116964E-2</v>
      </c>
      <c r="I250">
        <f t="shared" si="43"/>
        <v>38.722972013070034</v>
      </c>
      <c r="K250" s="1">
        <v>46073</v>
      </c>
      <c r="L250" s="2">
        <v>1724.4</v>
      </c>
      <c r="M250" s="2">
        <f t="shared" si="38"/>
        <v>6.4199836582234148E-3</v>
      </c>
      <c r="N250" s="2">
        <f t="shared" si="44"/>
        <v>14.65347496206374</v>
      </c>
      <c r="O250" s="2"/>
      <c r="P250" s="1">
        <v>46077</v>
      </c>
      <c r="Q250" s="2">
        <v>14926</v>
      </c>
      <c r="R250">
        <f t="shared" si="39"/>
        <v>-9.6868365180467087E-3</v>
      </c>
      <c r="S250">
        <f t="shared" si="45"/>
        <v>25.317512883058971</v>
      </c>
      <c r="U250" s="1">
        <v>46078</v>
      </c>
      <c r="V250" s="2">
        <v>13041</v>
      </c>
      <c r="W250">
        <f t="shared" si="40"/>
        <v>6.2500000000000003E-3</v>
      </c>
      <c r="X250">
        <f t="shared" si="46"/>
        <v>27.460912262566268</v>
      </c>
      <c r="Z250" s="2">
        <f t="shared" si="47"/>
        <v>119.31317853123342</v>
      </c>
      <c r="AA250" s="3">
        <f t="shared" si="41"/>
        <v>5.9891468745469911E-3</v>
      </c>
    </row>
    <row r="251" spans="1:27" x14ac:dyDescent="0.3">
      <c r="A251" s="1">
        <v>46070</v>
      </c>
      <c r="B251" s="2">
        <v>1391.2</v>
      </c>
      <c r="C251" s="4">
        <f t="shared" si="36"/>
        <v>1.8746338605741167E-2</v>
      </c>
      <c r="D251" s="4">
        <f t="shared" si="42"/>
        <v>13.404976477923256</v>
      </c>
      <c r="E251" s="4"/>
      <c r="F251" s="1">
        <v>46045</v>
      </c>
      <c r="G251" s="2">
        <v>1029.5</v>
      </c>
      <c r="H251">
        <f t="shared" si="37"/>
        <v>-1.7980636237897564E-2</v>
      </c>
      <c r="I251">
        <f t="shared" si="43"/>
        <v>38.026708339252735</v>
      </c>
      <c r="K251" s="1">
        <v>46076</v>
      </c>
      <c r="L251" s="2">
        <v>1732.3</v>
      </c>
      <c r="M251" s="2">
        <f t="shared" si="38"/>
        <v>4.58130364184636E-3</v>
      </c>
      <c r="N251" s="2">
        <f t="shared" si="44"/>
        <v>14.720606980273146</v>
      </c>
      <c r="O251" s="2"/>
      <c r="P251" s="1">
        <v>46078</v>
      </c>
      <c r="Q251" s="2">
        <v>15070</v>
      </c>
      <c r="R251">
        <f t="shared" si="39"/>
        <v>9.6475948010183565E-3</v>
      </c>
      <c r="S251">
        <f t="shared" si="45"/>
        <v>25.561765988724286</v>
      </c>
    </row>
    <row r="252" spans="1:27" x14ac:dyDescent="0.3">
      <c r="A252" s="1">
        <v>46071</v>
      </c>
      <c r="B252" s="2">
        <v>1373.7</v>
      </c>
      <c r="C252" s="4">
        <f t="shared" si="36"/>
        <v>-1.257906843013226E-2</v>
      </c>
      <c r="D252" s="4">
        <f t="shared" si="42"/>
        <v>13.236354361503146</v>
      </c>
      <c r="E252" s="4"/>
      <c r="F252" s="1">
        <v>46049</v>
      </c>
      <c r="G252" s="2">
        <v>1053.1500000000001</v>
      </c>
      <c r="H252">
        <f t="shared" si="37"/>
        <v>2.297231665857221E-2</v>
      </c>
      <c r="I252">
        <f t="shared" si="43"/>
        <v>38.900269924705221</v>
      </c>
      <c r="K252" s="1">
        <v>46077</v>
      </c>
      <c r="L252" s="2">
        <v>1731.8</v>
      </c>
      <c r="M252" s="2">
        <f t="shared" si="38"/>
        <v>-2.8863360849737342E-4</v>
      </c>
      <c r="N252" s="2">
        <f t="shared" si="44"/>
        <v>14.716358118361159</v>
      </c>
      <c r="O252" s="2"/>
    </row>
    <row r="253" spans="1:27" x14ac:dyDescent="0.3">
      <c r="A253" s="1">
        <v>46072</v>
      </c>
      <c r="B253" s="2">
        <v>1370.5</v>
      </c>
      <c r="C253" s="4">
        <f t="shared" si="36"/>
        <v>-2.329475140132522E-3</v>
      </c>
      <c r="D253" s="4">
        <f t="shared" si="42"/>
        <v>13.20552060307204</v>
      </c>
      <c r="E253" s="4"/>
      <c r="F253" s="1">
        <v>46050</v>
      </c>
      <c r="G253" s="2">
        <v>1063.5</v>
      </c>
      <c r="H253">
        <f t="shared" si="37"/>
        <v>9.8276598775102388E-3</v>
      </c>
      <c r="I253">
        <f t="shared" si="43"/>
        <v>39.282568546668564</v>
      </c>
      <c r="K253" s="1">
        <v>46078</v>
      </c>
      <c r="L253" s="2">
        <v>1764.2</v>
      </c>
      <c r="M253" s="2">
        <f t="shared" si="38"/>
        <v>1.8708857835777856E-2</v>
      </c>
      <c r="N253" s="2">
        <f t="shared" si="44"/>
        <v>14.991684370257973</v>
      </c>
      <c r="O253" s="2"/>
    </row>
    <row r="254" spans="1:27" x14ac:dyDescent="0.3">
      <c r="A254" s="1">
        <v>46073</v>
      </c>
      <c r="B254" s="2">
        <v>1353.2</v>
      </c>
      <c r="C254" s="4">
        <f t="shared" si="36"/>
        <v>-1.2623130244436304E-2</v>
      </c>
      <c r="D254" s="4">
        <f t="shared" si="42"/>
        <v>13.038825596553876</v>
      </c>
      <c r="E254" s="4"/>
      <c r="F254" s="1">
        <v>46051</v>
      </c>
      <c r="G254" s="2">
        <v>1066.2</v>
      </c>
      <c r="H254">
        <f t="shared" si="37"/>
        <v>2.5387870239774756E-3</v>
      </c>
      <c r="I254">
        <f t="shared" si="43"/>
        <v>39.382298621963351</v>
      </c>
    </row>
    <row r="255" spans="1:27" x14ac:dyDescent="0.3">
      <c r="A255" s="1">
        <v>46076</v>
      </c>
      <c r="B255" s="2">
        <v>1327.5</v>
      </c>
      <c r="C255" s="4">
        <f t="shared" si="36"/>
        <v>-1.8992018918120045E-2</v>
      </c>
      <c r="D255" s="4">
        <f t="shared" si="42"/>
        <v>12.791191974154057</v>
      </c>
      <c r="E255" s="4"/>
      <c r="F255" s="1">
        <v>46052</v>
      </c>
      <c r="G255" s="2">
        <v>1077.1500000000001</v>
      </c>
      <c r="H255">
        <f t="shared" si="37"/>
        <v>1.0270118176702349E-2</v>
      </c>
      <c r="I255">
        <f t="shared" si="43"/>
        <v>39.786759482881102</v>
      </c>
    </row>
    <row r="256" spans="1:27" x14ac:dyDescent="0.3">
      <c r="A256" s="1">
        <v>46077</v>
      </c>
      <c r="B256" s="2">
        <v>1275.5</v>
      </c>
      <c r="C256" s="4">
        <f t="shared" si="36"/>
        <v>-3.9171374764595104E-2</v>
      </c>
      <c r="D256" s="4">
        <f t="shared" si="42"/>
        <v>12.290143399648587</v>
      </c>
      <c r="E256" s="4"/>
      <c r="F256" s="1">
        <v>46054</v>
      </c>
      <c r="G256" s="2">
        <v>1018.2</v>
      </c>
      <c r="H256">
        <f t="shared" si="37"/>
        <v>-5.4727753794736149E-2</v>
      </c>
      <c r="I256">
        <f t="shared" si="43"/>
        <v>37.609319505611602</v>
      </c>
    </row>
    <row r="257" spans="1:9" x14ac:dyDescent="0.3">
      <c r="A257" s="1">
        <v>46078</v>
      </c>
      <c r="B257" s="2">
        <v>1290.0999999999999</v>
      </c>
      <c r="C257" s="4">
        <f t="shared" si="36"/>
        <v>1.1446491571932504E-2</v>
      </c>
      <c r="D257" s="4">
        <f t="shared" si="42"/>
        <v>12.430822422490508</v>
      </c>
      <c r="E257" s="4"/>
      <c r="F257" s="1">
        <v>46055</v>
      </c>
      <c r="G257" s="2">
        <v>1028.7</v>
      </c>
      <c r="H257">
        <f t="shared" si="37"/>
        <v>1.0312315851502652E-2</v>
      </c>
      <c r="I257">
        <f t="shared" si="43"/>
        <v>37.997158687313544</v>
      </c>
    </row>
    <row r="258" spans="1:9" x14ac:dyDescent="0.3">
      <c r="D258" s="4"/>
      <c r="E258" s="4"/>
      <c r="F258" s="1">
        <v>46056</v>
      </c>
      <c r="G258" s="2">
        <v>1064.2</v>
      </c>
      <c r="H258">
        <f t="shared" si="37"/>
        <v>3.450957519198989E-2</v>
      </c>
      <c r="I258">
        <f t="shared" si="43"/>
        <v>39.308424492115364</v>
      </c>
    </row>
    <row r="259" spans="1:9" x14ac:dyDescent="0.3">
      <c r="D259" s="4"/>
      <c r="E259" s="4"/>
      <c r="F259" s="1">
        <v>46057</v>
      </c>
      <c r="G259" s="2">
        <v>1068.2</v>
      </c>
      <c r="H259">
        <f t="shared" si="37"/>
        <v>3.758691975192633E-3</v>
      </c>
      <c r="I259">
        <f t="shared" si="43"/>
        <v>39.456172751811344</v>
      </c>
    </row>
    <row r="260" spans="1:9" x14ac:dyDescent="0.3">
      <c r="D260" s="4"/>
      <c r="E260" s="4"/>
      <c r="F260" s="1">
        <v>46058</v>
      </c>
      <c r="G260" s="2">
        <v>1073.5</v>
      </c>
      <c r="H260">
        <f t="shared" si="37"/>
        <v>4.9616176745927304E-3</v>
      </c>
      <c r="I260">
        <f t="shared" si="43"/>
        <v>39.651939195908518</v>
      </c>
    </row>
    <row r="261" spans="1:9" x14ac:dyDescent="0.3">
      <c r="D261" s="4"/>
      <c r="E261" s="4"/>
      <c r="F261" s="1">
        <v>46059</v>
      </c>
      <c r="G261" s="2">
        <v>1066.4000000000001</v>
      </c>
      <c r="H261">
        <f t="shared" si="37"/>
        <v>-6.6138798323240886E-3</v>
      </c>
      <c r="I261">
        <f t="shared" si="43"/>
        <v>39.389686034948156</v>
      </c>
    </row>
    <row r="262" spans="1:9" x14ac:dyDescent="0.3">
      <c r="D262" s="4"/>
      <c r="E262" s="4"/>
      <c r="F262" s="1">
        <v>46062</v>
      </c>
      <c r="G262" s="2">
        <v>1146</v>
      </c>
      <c r="H262">
        <f t="shared" ref="H262:H274" si="48">(G262-G261)/G261</f>
        <v>7.4643660915228713E-2</v>
      </c>
      <c r="I262">
        <f t="shared" si="43"/>
        <v>42.329876402898151</v>
      </c>
    </row>
    <row r="263" spans="1:9" x14ac:dyDescent="0.3">
      <c r="D263" s="4"/>
      <c r="E263" s="4"/>
      <c r="F263" s="1">
        <v>46063</v>
      </c>
      <c r="G263" s="2">
        <v>1144.0999999999999</v>
      </c>
      <c r="H263">
        <f t="shared" si="48"/>
        <v>-1.6579406631763447E-3</v>
      </c>
      <c r="I263">
        <f t="shared" ref="I263:I274" si="49">I262*(1+H263)</f>
        <v>42.259695979542556</v>
      </c>
    </row>
    <row r="264" spans="1:9" x14ac:dyDescent="0.3">
      <c r="D264" s="4"/>
      <c r="E264" s="4"/>
      <c r="F264" s="1">
        <v>46064</v>
      </c>
      <c r="G264" s="2">
        <v>1182.9000000000001</v>
      </c>
      <c r="H264">
        <f t="shared" si="48"/>
        <v>3.3913119482562877E-2</v>
      </c>
      <c r="I264">
        <f t="shared" si="49"/>
        <v>43.692854098593564</v>
      </c>
    </row>
    <row r="265" spans="1:9" x14ac:dyDescent="0.3">
      <c r="D265" s="4"/>
      <c r="E265" s="4"/>
      <c r="F265" s="1">
        <v>46065</v>
      </c>
      <c r="G265" s="2">
        <v>1192.4000000000001</v>
      </c>
      <c r="H265">
        <f t="shared" si="48"/>
        <v>8.03110998393778E-3</v>
      </c>
      <c r="I265">
        <f t="shared" si="49"/>
        <v>44.043756215371516</v>
      </c>
    </row>
    <row r="266" spans="1:9" x14ac:dyDescent="0.3">
      <c r="D266" s="4"/>
      <c r="E266" s="4"/>
      <c r="F266" s="1">
        <v>46066</v>
      </c>
      <c r="G266" s="2">
        <v>1198.5999999999999</v>
      </c>
      <c r="H266">
        <f t="shared" si="48"/>
        <v>5.1995974505198066E-3</v>
      </c>
      <c r="I266">
        <f t="shared" si="49"/>
        <v>44.272766017900281</v>
      </c>
    </row>
    <row r="267" spans="1:9" x14ac:dyDescent="0.3">
      <c r="D267" s="4"/>
      <c r="E267" s="4"/>
      <c r="F267" s="1">
        <v>46069</v>
      </c>
      <c r="G267" s="2">
        <v>1208.0999999999999</v>
      </c>
      <c r="H267">
        <f t="shared" si="48"/>
        <v>7.9259135658267983E-3</v>
      </c>
      <c r="I267">
        <f t="shared" si="49"/>
        <v>44.623668134678226</v>
      </c>
    </row>
    <row r="268" spans="1:9" x14ac:dyDescent="0.3">
      <c r="D268" s="4"/>
      <c r="E268" s="4"/>
      <c r="F268" s="1">
        <v>46070</v>
      </c>
      <c r="G268" s="2">
        <v>1213.4000000000001</v>
      </c>
      <c r="H268">
        <f t="shared" si="48"/>
        <v>4.3870540518170537E-3</v>
      </c>
      <c r="I268">
        <f t="shared" si="49"/>
        <v>44.819434578775407</v>
      </c>
    </row>
    <row r="269" spans="1:9" x14ac:dyDescent="0.3">
      <c r="D269" s="4"/>
      <c r="E269" s="4"/>
      <c r="F269" s="1">
        <v>46071</v>
      </c>
      <c r="G269" s="2">
        <v>1218.9000000000001</v>
      </c>
      <c r="H269">
        <f t="shared" si="48"/>
        <v>4.5327179825284322E-3</v>
      </c>
      <c r="I269">
        <f t="shared" si="49"/>
        <v>45.022588435857386</v>
      </c>
    </row>
    <row r="270" spans="1:9" x14ac:dyDescent="0.3">
      <c r="D270" s="4"/>
      <c r="E270" s="4"/>
      <c r="F270" s="1">
        <v>46072</v>
      </c>
      <c r="G270" s="2">
        <v>1205.7</v>
      </c>
      <c r="H270">
        <f t="shared" si="48"/>
        <v>-1.0829436377061321E-2</v>
      </c>
      <c r="I270">
        <f t="shared" si="49"/>
        <v>44.535019178860651</v>
      </c>
    </row>
    <row r="271" spans="1:9" x14ac:dyDescent="0.3">
      <c r="D271" s="4"/>
      <c r="E271" s="4"/>
      <c r="F271" s="1">
        <v>46073</v>
      </c>
      <c r="G271" s="2">
        <v>1216.0999999999999</v>
      </c>
      <c r="H271">
        <f t="shared" si="48"/>
        <v>8.6256946172346884E-3</v>
      </c>
      <c r="I271">
        <f t="shared" si="49"/>
        <v>44.919164654070194</v>
      </c>
    </row>
    <row r="272" spans="1:9" x14ac:dyDescent="0.3">
      <c r="D272" s="4"/>
      <c r="E272" s="4"/>
      <c r="F272" s="1">
        <v>46076</v>
      </c>
      <c r="G272" s="2">
        <v>1227.8</v>
      </c>
      <c r="H272">
        <f t="shared" si="48"/>
        <v>9.6209193322917899E-3</v>
      </c>
      <c r="I272">
        <f t="shared" si="49"/>
        <v>45.351328313680938</v>
      </c>
    </row>
    <row r="273" spans="4:9" x14ac:dyDescent="0.3">
      <c r="D273" s="4"/>
      <c r="E273" s="4"/>
      <c r="F273" s="1">
        <v>46077</v>
      </c>
      <c r="G273" s="2">
        <v>1223.3</v>
      </c>
      <c r="H273">
        <f t="shared" si="48"/>
        <v>-3.6650920345333115E-3</v>
      </c>
      <c r="I273">
        <f t="shared" si="49"/>
        <v>45.185111521522956</v>
      </c>
    </row>
    <row r="274" spans="4:9" x14ac:dyDescent="0.3">
      <c r="D274" s="4"/>
      <c r="E274" s="4"/>
      <c r="F274" s="1">
        <v>46078</v>
      </c>
      <c r="G274" s="2">
        <v>1200.0999999999999</v>
      </c>
      <c r="H274">
        <f t="shared" si="48"/>
        <v>-1.896509441674164E-2</v>
      </c>
      <c r="I274">
        <f t="shared" si="49"/>
        <v>44.328171615286273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1F97-0CB1-4094-A0B9-06D186048362}">
  <dimension ref="A1:AC251"/>
  <sheetViews>
    <sheetView topLeftCell="S1" workbookViewId="0">
      <selection activeCell="AC8" sqref="AC8"/>
    </sheetView>
  </sheetViews>
  <sheetFormatPr defaultRowHeight="14.4" x14ac:dyDescent="0.3"/>
  <cols>
    <col min="1" max="1" width="10.109375" customWidth="1"/>
    <col min="2" max="2" width="10.77734375" bestFit="1" customWidth="1"/>
    <col min="3" max="3" width="16.6640625" bestFit="1" customWidth="1"/>
    <col min="4" max="4" width="16.6640625" customWidth="1"/>
    <col min="5" max="6" width="10.109375" customWidth="1"/>
    <col min="7" max="7" width="10.77734375" bestFit="1" customWidth="1"/>
    <col min="8" max="8" width="16.21875" bestFit="1" customWidth="1"/>
    <col min="9" max="9" width="16.21875" customWidth="1"/>
    <col min="10" max="12" width="11.109375" customWidth="1"/>
    <col min="13" max="13" width="15.77734375" bestFit="1" customWidth="1"/>
    <col min="14" max="14" width="15.77734375" customWidth="1"/>
    <col min="15" max="17" width="11.109375" customWidth="1"/>
    <col min="18" max="18" width="11.88671875" bestFit="1" customWidth="1"/>
    <col min="19" max="19" width="11.88671875" customWidth="1"/>
    <col min="20" max="22" width="11.109375" customWidth="1"/>
    <col min="23" max="23" width="11.21875" bestFit="1" customWidth="1"/>
    <col min="24" max="25" width="11.109375" customWidth="1"/>
    <col min="26" max="26" width="12" bestFit="1" customWidth="1"/>
    <col min="27" max="27" width="11.109375" customWidth="1"/>
    <col min="29" max="29" width="13.21875" bestFit="1" customWidth="1"/>
  </cols>
  <sheetData>
    <row r="1" spans="1:29" x14ac:dyDescent="0.3">
      <c r="Z1" s="13" t="s">
        <v>8</v>
      </c>
    </row>
    <row r="3" spans="1:29" x14ac:dyDescent="0.3">
      <c r="A3" s="13" t="s">
        <v>0</v>
      </c>
      <c r="B3" s="13" t="s">
        <v>1</v>
      </c>
      <c r="C3" s="13" t="s">
        <v>14</v>
      </c>
      <c r="D3" s="13" t="s">
        <v>9</v>
      </c>
      <c r="E3" s="13"/>
      <c r="F3" s="13" t="s">
        <v>0</v>
      </c>
      <c r="G3" s="13" t="s">
        <v>1</v>
      </c>
      <c r="H3" s="13" t="s">
        <v>13</v>
      </c>
      <c r="I3" s="13" t="s">
        <v>9</v>
      </c>
      <c r="J3" s="13"/>
      <c r="K3" s="13" t="s">
        <v>0</v>
      </c>
      <c r="L3" s="13" t="s">
        <v>1</v>
      </c>
      <c r="M3" s="13" t="s">
        <v>15</v>
      </c>
      <c r="N3" s="13" t="s">
        <v>9</v>
      </c>
      <c r="O3" s="13"/>
      <c r="P3" s="13" t="s">
        <v>0</v>
      </c>
      <c r="Q3" s="13" t="s">
        <v>1</v>
      </c>
      <c r="R3" s="13" t="s">
        <v>16</v>
      </c>
      <c r="S3" s="13" t="s">
        <v>9</v>
      </c>
      <c r="T3" s="13"/>
      <c r="U3" s="13" t="s">
        <v>0</v>
      </c>
      <c r="V3" s="13" t="s">
        <v>1</v>
      </c>
      <c r="W3" s="13" t="s">
        <v>17</v>
      </c>
      <c r="X3" s="13" t="s">
        <v>9</v>
      </c>
      <c r="Y3" s="13"/>
      <c r="Z3" s="13">
        <v>100</v>
      </c>
      <c r="AA3" s="13" t="s">
        <v>10</v>
      </c>
      <c r="AC3" s="13" t="s">
        <v>12</v>
      </c>
    </row>
    <row r="4" spans="1:29" x14ac:dyDescent="0.3">
      <c r="A4" s="1">
        <v>45715</v>
      </c>
      <c r="B4">
        <v>811.75</v>
      </c>
      <c r="D4" s="5">
        <v>0.17</v>
      </c>
      <c r="F4" s="1">
        <v>45715</v>
      </c>
      <c r="G4">
        <v>343.3</v>
      </c>
      <c r="I4" s="5">
        <v>0.26</v>
      </c>
      <c r="K4" s="1">
        <v>45715</v>
      </c>
      <c r="L4">
        <v>458.8</v>
      </c>
      <c r="N4" s="5">
        <v>0.14000000000000001</v>
      </c>
      <c r="P4" s="1">
        <v>45715</v>
      </c>
      <c r="Q4">
        <v>52.13</v>
      </c>
      <c r="R4" s="5">
        <v>0.21</v>
      </c>
      <c r="U4" s="1">
        <v>45715</v>
      </c>
      <c r="V4">
        <v>93.03</v>
      </c>
      <c r="W4" s="5">
        <v>0.22</v>
      </c>
      <c r="Z4">
        <v>100</v>
      </c>
      <c r="AC4" s="7">
        <f>AVERAGE(AA5:AA251)</f>
        <v>2.121525552720419E-4</v>
      </c>
    </row>
    <row r="5" spans="1:29" x14ac:dyDescent="0.3">
      <c r="A5" s="1">
        <v>45716</v>
      </c>
      <c r="B5">
        <v>774.4</v>
      </c>
      <c r="C5">
        <f>(B5-B4)/B4</f>
        <v>-4.6011703110563622E-2</v>
      </c>
      <c r="D5">
        <f>$D$4*Z4*(1+C5)</f>
        <v>16.217801047120417</v>
      </c>
      <c r="F5" s="1">
        <v>45716</v>
      </c>
      <c r="G5">
        <v>339.2</v>
      </c>
      <c r="H5">
        <f>(G5-G4)/G4</f>
        <v>-1.1942907078357188E-2</v>
      </c>
      <c r="I5">
        <f>$I$4*Z4*(1+H5)</f>
        <v>25.689484415962713</v>
      </c>
      <c r="K5" s="1">
        <v>45716</v>
      </c>
      <c r="L5">
        <v>464.1</v>
      </c>
      <c r="M5">
        <f>(L5-L4)/L4</f>
        <v>1.1551874455100286E-2</v>
      </c>
      <c r="N5">
        <f>N4*Z4*(1+M5)</f>
        <v>14.161726242371405</v>
      </c>
      <c r="P5" s="1">
        <v>45716</v>
      </c>
      <c r="Q5">
        <v>49.71</v>
      </c>
      <c r="R5">
        <f>(Q5-Q4)/Q4</f>
        <v>-4.6422405524649941E-2</v>
      </c>
      <c r="S5">
        <f>R4*Z4*(1+R5)</f>
        <v>20.025129483982351</v>
      </c>
      <c r="U5" s="1">
        <v>45716</v>
      </c>
      <c r="V5">
        <v>87.27</v>
      </c>
      <c r="W5">
        <f>(V5-V4)/V4</f>
        <v>-6.1915511125443461E-2</v>
      </c>
      <c r="X5">
        <f>W4*Z4*(1+W5)</f>
        <v>20.637858755240245</v>
      </c>
      <c r="Z5">
        <f>X5+S5+N5+I5+D5</f>
        <v>96.731999944677128</v>
      </c>
      <c r="AA5" s="10">
        <f>Z5/Z4-1</f>
        <v>-3.2680000553228727E-2</v>
      </c>
    </row>
    <row r="6" spans="1:29" x14ac:dyDescent="0.3">
      <c r="A6" s="1">
        <v>45719</v>
      </c>
      <c r="B6">
        <v>804.1</v>
      </c>
      <c r="C6">
        <f t="shared" ref="C6:C69" si="0">(B6-B5)/B5</f>
        <v>3.835227272727279E-2</v>
      </c>
      <c r="D6">
        <f>D5*(1+C6)</f>
        <v>16.839790575916229</v>
      </c>
      <c r="F6" s="1">
        <v>45719</v>
      </c>
      <c r="G6">
        <v>342.85</v>
      </c>
      <c r="H6">
        <f t="shared" ref="H6:H69" si="1">(G6-G5)/G5</f>
        <v>1.0760613207547272E-2</v>
      </c>
      <c r="I6">
        <f>I5*(1+H6)</f>
        <v>25.965919021264202</v>
      </c>
      <c r="K6" s="1">
        <v>45719</v>
      </c>
      <c r="L6">
        <v>473.85</v>
      </c>
      <c r="M6">
        <f t="shared" ref="M6:M69" si="2">(L6-L5)/L5</f>
        <v>2.1008403361344536E-2</v>
      </c>
      <c r="N6">
        <f>N5*(1+M6)</f>
        <v>14.459241499564079</v>
      </c>
      <c r="P6" s="1">
        <v>45719</v>
      </c>
      <c r="Q6">
        <v>49.78</v>
      </c>
      <c r="R6">
        <f t="shared" ref="R6:R69" si="3">(Q6-Q5)/Q5</f>
        <v>1.4081673707503578E-3</v>
      </c>
      <c r="S6">
        <f>S5*(1+R6)</f>
        <v>20.053328217916746</v>
      </c>
      <c r="U6" s="1">
        <v>45719</v>
      </c>
      <c r="V6">
        <v>87.92</v>
      </c>
      <c r="W6">
        <f t="shared" ref="W6:W69" si="4">(V6-V5)/V5</f>
        <v>7.4481494213361485E-3</v>
      </c>
      <c r="X6">
        <f>X5*(1+W6)</f>
        <v>20.791572610985703</v>
      </c>
      <c r="Z6">
        <f>X6+S6+N6+I6+D6</f>
        <v>98.109851925646964</v>
      </c>
      <c r="AA6" s="10">
        <f t="shared" ref="AA6:AA69" si="5">Z6/Z5-1</f>
        <v>1.4244014201689748E-2</v>
      </c>
    </row>
    <row r="7" spans="1:29" x14ac:dyDescent="0.3">
      <c r="A7" s="1">
        <v>45720</v>
      </c>
      <c r="B7">
        <v>768.55</v>
      </c>
      <c r="C7">
        <f t="shared" si="0"/>
        <v>-4.4210919039920492E-2</v>
      </c>
      <c r="D7">
        <f t="shared" ref="D7:D70" si="6">D6*(1+C7)</f>
        <v>16.095287958115183</v>
      </c>
      <c r="F7" s="1">
        <v>45720</v>
      </c>
      <c r="G7">
        <v>345.95</v>
      </c>
      <c r="H7">
        <f t="shared" si="1"/>
        <v>9.0418550386465388E-3</v>
      </c>
      <c r="I7">
        <f t="shared" ref="I7:I70" si="7">I6*(1+H7)</f>
        <v>26.20069909699971</v>
      </c>
      <c r="K7" s="1">
        <v>45720</v>
      </c>
      <c r="L7">
        <v>481.25</v>
      </c>
      <c r="M7">
        <f t="shared" si="2"/>
        <v>1.561675635749705E-2</v>
      </c>
      <c r="N7">
        <f t="shared" ref="N7:N70" si="8">N6*(1+M7)</f>
        <v>14.685047951176983</v>
      </c>
      <c r="P7" s="1">
        <v>45720</v>
      </c>
      <c r="Q7">
        <v>50.11</v>
      </c>
      <c r="R7">
        <f t="shared" si="3"/>
        <v>6.6291683406990414E-3</v>
      </c>
      <c r="S7">
        <f t="shared" ref="S7:S70" si="9">S6*(1+R7)</f>
        <v>20.186265106464603</v>
      </c>
      <c r="U7" s="1">
        <v>45720</v>
      </c>
      <c r="V7">
        <v>87.08</v>
      </c>
      <c r="W7">
        <f t="shared" si="4"/>
        <v>-9.5541401273885728E-3</v>
      </c>
      <c r="X7">
        <f t="shared" ref="X7:X70" si="10">X6*(1+W7)</f>
        <v>20.592927012791574</v>
      </c>
      <c r="Z7">
        <f t="shared" ref="Z7:Z70" si="11">X7+S7+N7+I7+D7</f>
        <v>97.760227125548056</v>
      </c>
      <c r="AA7" s="10">
        <f t="shared" si="5"/>
        <v>-3.563605420216831E-3</v>
      </c>
      <c r="AC7" s="13" t="s">
        <v>18</v>
      </c>
    </row>
    <row r="8" spans="1:29" x14ac:dyDescent="0.3">
      <c r="A8" s="1">
        <v>45721</v>
      </c>
      <c r="B8">
        <v>848.7</v>
      </c>
      <c r="C8">
        <f t="shared" si="0"/>
        <v>0.10428729425541616</v>
      </c>
      <c r="D8">
        <f t="shared" si="6"/>
        <v>17.773821989528798</v>
      </c>
      <c r="F8" s="1">
        <v>45721</v>
      </c>
      <c r="G8">
        <v>351.4</v>
      </c>
      <c r="H8">
        <f t="shared" si="1"/>
        <v>1.5753721636074546E-2</v>
      </c>
      <c r="I8">
        <f t="shared" si="7"/>
        <v>26.613457617244393</v>
      </c>
      <c r="K8" s="1">
        <v>45721</v>
      </c>
      <c r="L8">
        <v>509.1</v>
      </c>
      <c r="M8">
        <f t="shared" si="2"/>
        <v>5.7870129870129919E-2</v>
      </c>
      <c r="N8">
        <f t="shared" si="8"/>
        <v>15.53487358326068</v>
      </c>
      <c r="P8" s="1">
        <v>45721</v>
      </c>
      <c r="Q8">
        <v>51.49</v>
      </c>
      <c r="R8">
        <f t="shared" si="3"/>
        <v>2.753941329076038E-2</v>
      </c>
      <c r="S8">
        <f t="shared" si="9"/>
        <v>20.742183004028387</v>
      </c>
      <c r="U8" s="1">
        <v>45721</v>
      </c>
      <c r="V8">
        <v>91.07</v>
      </c>
      <c r="W8">
        <f t="shared" si="4"/>
        <v>4.5819935691318273E-2</v>
      </c>
      <c r="X8">
        <f t="shared" si="10"/>
        <v>21.536493604213693</v>
      </c>
      <c r="Z8">
        <f t="shared" si="11"/>
        <v>102.20082979827595</v>
      </c>
      <c r="AA8" s="10">
        <f t="shared" si="5"/>
        <v>4.5423407895984758E-2</v>
      </c>
      <c r="AC8" s="6">
        <f>_xlfn.STDEV.P(AA5:AA251)</f>
        <v>1.3321501172207342E-2</v>
      </c>
    </row>
    <row r="9" spans="1:29" x14ac:dyDescent="0.3">
      <c r="A9" s="1">
        <v>45722</v>
      </c>
      <c r="B9">
        <v>845.95</v>
      </c>
      <c r="C9">
        <f t="shared" si="0"/>
        <v>-3.2402497938022858E-3</v>
      </c>
      <c r="D9">
        <f t="shared" si="6"/>
        <v>17.716230366492148</v>
      </c>
      <c r="F9" s="1">
        <v>45722</v>
      </c>
      <c r="G9">
        <v>354.05</v>
      </c>
      <c r="H9">
        <f t="shared" si="1"/>
        <v>7.5412635173592322E-3</v>
      </c>
      <c r="I9">
        <f t="shared" si="7"/>
        <v>26.814156714244106</v>
      </c>
      <c r="K9" s="1">
        <v>45722</v>
      </c>
      <c r="L9">
        <v>499.6</v>
      </c>
      <c r="M9">
        <f t="shared" si="2"/>
        <v>-1.8660381064623845E-2</v>
      </c>
      <c r="N9">
        <f t="shared" si="8"/>
        <v>15.244986922406277</v>
      </c>
      <c r="P9" s="1">
        <v>45722</v>
      </c>
      <c r="Q9">
        <v>52.1</v>
      </c>
      <c r="R9">
        <f t="shared" si="3"/>
        <v>1.1846960574868896E-2</v>
      </c>
      <c r="S9">
        <f t="shared" si="9"/>
        <v>20.98791482831383</v>
      </c>
      <c r="U9" s="1">
        <v>45722</v>
      </c>
      <c r="V9">
        <v>94.45</v>
      </c>
      <c r="W9">
        <f t="shared" si="4"/>
        <v>3.7114307675414626E-2</v>
      </c>
      <c r="X9">
        <f t="shared" si="10"/>
        <v>22.335805654090077</v>
      </c>
      <c r="Z9">
        <f t="shared" si="11"/>
        <v>103.09909448554643</v>
      </c>
      <c r="AA9" s="10">
        <f t="shared" si="5"/>
        <v>8.7892112915666232E-3</v>
      </c>
    </row>
    <row r="10" spans="1:29" x14ac:dyDescent="0.3">
      <c r="A10" s="1">
        <v>45723</v>
      </c>
      <c r="B10">
        <v>837.2</v>
      </c>
      <c r="C10">
        <f t="shared" si="0"/>
        <v>-1.0343400910219279E-2</v>
      </c>
      <c r="D10">
        <f t="shared" si="6"/>
        <v>17.532984293193721</v>
      </c>
      <c r="F10" s="1">
        <v>45723</v>
      </c>
      <c r="G10">
        <v>351.45</v>
      </c>
      <c r="H10">
        <f t="shared" si="1"/>
        <v>-7.343595537353545E-3</v>
      </c>
      <c r="I10">
        <f t="shared" si="7"/>
        <v>26.617244392659487</v>
      </c>
      <c r="K10" s="1">
        <v>45723</v>
      </c>
      <c r="L10">
        <v>491.7</v>
      </c>
      <c r="M10">
        <f t="shared" si="2"/>
        <v>-1.5812650120096146E-2</v>
      </c>
      <c r="N10">
        <f t="shared" si="8"/>
        <v>15.003923278116824</v>
      </c>
      <c r="P10" s="1">
        <v>45723</v>
      </c>
      <c r="Q10">
        <v>54.92</v>
      </c>
      <c r="R10">
        <f t="shared" si="3"/>
        <v>5.4126679462571978E-2</v>
      </c>
      <c r="S10">
        <f t="shared" si="9"/>
        <v>22.123920966813731</v>
      </c>
      <c r="U10" s="1">
        <v>45723</v>
      </c>
      <c r="V10">
        <v>97.24</v>
      </c>
      <c r="W10">
        <f t="shared" si="4"/>
        <v>2.9539438856537766E-2</v>
      </c>
      <c r="X10">
        <f t="shared" si="10"/>
        <v>22.995592819520581</v>
      </c>
      <c r="Z10">
        <f t="shared" si="11"/>
        <v>104.27366575030433</v>
      </c>
      <c r="AA10" s="10">
        <f t="shared" si="5"/>
        <v>1.1392643850257622E-2</v>
      </c>
    </row>
    <row r="11" spans="1:29" x14ac:dyDescent="0.3">
      <c r="A11" s="1">
        <v>45726</v>
      </c>
      <c r="B11">
        <v>826.05</v>
      </c>
      <c r="C11">
        <f t="shared" si="0"/>
        <v>-1.3318203535594948E-2</v>
      </c>
      <c r="D11">
        <f t="shared" si="6"/>
        <v>17.299476439790578</v>
      </c>
      <c r="F11" s="1">
        <v>45726</v>
      </c>
      <c r="G11">
        <v>352.45</v>
      </c>
      <c r="H11">
        <f t="shared" si="1"/>
        <v>2.8453549580310144E-3</v>
      </c>
      <c r="I11">
        <f t="shared" si="7"/>
        <v>26.692979900961262</v>
      </c>
      <c r="K11" s="1">
        <v>45726</v>
      </c>
      <c r="L11">
        <v>505.35</v>
      </c>
      <c r="M11">
        <f t="shared" si="2"/>
        <v>2.7760829774252663E-2</v>
      </c>
      <c r="N11">
        <f t="shared" si="8"/>
        <v>15.420444638186572</v>
      </c>
      <c r="P11" s="1">
        <v>45726</v>
      </c>
      <c r="Q11">
        <v>53.24</v>
      </c>
      <c r="R11">
        <f t="shared" si="3"/>
        <v>-3.0589949016751633E-2</v>
      </c>
      <c r="S11">
        <f t="shared" si="9"/>
        <v>21.447151352388257</v>
      </c>
      <c r="U11" s="1">
        <v>45726</v>
      </c>
      <c r="V11">
        <v>95.11</v>
      </c>
      <c r="W11">
        <f t="shared" si="4"/>
        <v>-2.1904566022213034E-2</v>
      </c>
      <c r="X11">
        <f t="shared" si="10"/>
        <v>22.491884338385464</v>
      </c>
      <c r="Z11">
        <f t="shared" si="11"/>
        <v>103.35193666971215</v>
      </c>
      <c r="AA11" s="10">
        <f t="shared" si="5"/>
        <v>-8.8395192972248182E-3</v>
      </c>
    </row>
    <row r="12" spans="1:29" x14ac:dyDescent="0.3">
      <c r="A12" s="1">
        <v>45727</v>
      </c>
      <c r="B12">
        <v>824.2</v>
      </c>
      <c r="C12">
        <f t="shared" si="0"/>
        <v>-2.2395738756732756E-3</v>
      </c>
      <c r="D12">
        <f t="shared" si="6"/>
        <v>17.260732984293195</v>
      </c>
      <c r="F12" s="1">
        <v>45727</v>
      </c>
      <c r="G12">
        <v>352.45</v>
      </c>
      <c r="H12">
        <f t="shared" si="1"/>
        <v>0</v>
      </c>
      <c r="I12">
        <f t="shared" si="7"/>
        <v>26.692979900961262</v>
      </c>
      <c r="K12" s="1">
        <v>45727</v>
      </c>
      <c r="L12">
        <v>513.75</v>
      </c>
      <c r="M12">
        <f t="shared" si="2"/>
        <v>1.6622143069159944E-2</v>
      </c>
      <c r="N12">
        <f t="shared" si="8"/>
        <v>15.676765475152569</v>
      </c>
      <c r="P12" s="1">
        <v>45727</v>
      </c>
      <c r="Q12">
        <v>53.76</v>
      </c>
      <c r="R12">
        <f t="shared" si="3"/>
        <v>9.7670924117204353E-3</v>
      </c>
      <c r="S12">
        <f t="shared" si="9"/>
        <v>21.656627661615186</v>
      </c>
      <c r="U12" s="1">
        <v>45727</v>
      </c>
      <c r="V12">
        <v>95.58</v>
      </c>
      <c r="W12">
        <f t="shared" si="4"/>
        <v>4.9416465145620744E-3</v>
      </c>
      <c r="X12">
        <f t="shared" si="10"/>
        <v>22.603031280232177</v>
      </c>
      <c r="Z12">
        <f t="shared" si="11"/>
        <v>103.89013730225439</v>
      </c>
      <c r="AA12" s="10">
        <f t="shared" si="5"/>
        <v>5.2074557079873074E-3</v>
      </c>
    </row>
    <row r="13" spans="1:29" x14ac:dyDescent="0.3">
      <c r="A13" s="1">
        <v>45728</v>
      </c>
      <c r="B13">
        <v>853.45</v>
      </c>
      <c r="C13">
        <f t="shared" si="0"/>
        <v>3.5488958990536279E-2</v>
      </c>
      <c r="D13">
        <f t="shared" si="6"/>
        <v>17.873298429319373</v>
      </c>
      <c r="F13" s="1">
        <v>45728</v>
      </c>
      <c r="G13">
        <v>356.25</v>
      </c>
      <c r="H13">
        <f t="shared" si="1"/>
        <v>1.0781671159029681E-2</v>
      </c>
      <c r="I13">
        <f t="shared" si="7"/>
        <v>26.980774832508015</v>
      </c>
      <c r="K13" s="1">
        <v>45728</v>
      </c>
      <c r="L13">
        <v>515.20000000000005</v>
      </c>
      <c r="M13">
        <f t="shared" si="2"/>
        <v>2.8223844282239327E-3</v>
      </c>
      <c r="N13">
        <f t="shared" si="8"/>
        <v>15.721011333914561</v>
      </c>
      <c r="P13" s="1">
        <v>45728</v>
      </c>
      <c r="Q13">
        <v>53.85</v>
      </c>
      <c r="R13">
        <f t="shared" si="3"/>
        <v>1.6741071428572063E-3</v>
      </c>
      <c r="S13">
        <f t="shared" si="9"/>
        <v>21.692883176673696</v>
      </c>
      <c r="U13" s="1">
        <v>45728</v>
      </c>
      <c r="V13">
        <v>97.51</v>
      </c>
      <c r="W13">
        <f t="shared" si="4"/>
        <v>2.0192508893073936E-2</v>
      </c>
      <c r="X13">
        <f t="shared" si="10"/>
        <v>23.059443190368693</v>
      </c>
      <c r="Z13">
        <f t="shared" si="11"/>
        <v>105.32741096278434</v>
      </c>
      <c r="AA13" s="10">
        <f t="shared" si="5"/>
        <v>1.383455347978213E-2</v>
      </c>
    </row>
    <row r="14" spans="1:29" x14ac:dyDescent="0.3">
      <c r="A14" s="1">
        <v>45729</v>
      </c>
      <c r="B14">
        <v>873.65</v>
      </c>
      <c r="C14">
        <f t="shared" si="0"/>
        <v>2.3668639053254358E-2</v>
      </c>
      <c r="D14">
        <f t="shared" si="6"/>
        <v>18.296335078534032</v>
      </c>
      <c r="F14" s="1">
        <v>45729</v>
      </c>
      <c r="G14">
        <v>350.75</v>
      </c>
      <c r="H14">
        <f t="shared" si="1"/>
        <v>-1.5438596491228071E-2</v>
      </c>
      <c r="I14">
        <f t="shared" si="7"/>
        <v>26.564229536848242</v>
      </c>
      <c r="K14" s="1">
        <v>45729</v>
      </c>
      <c r="L14">
        <v>514.1</v>
      </c>
      <c r="M14">
        <f t="shared" si="2"/>
        <v>-2.1350931677019073E-3</v>
      </c>
      <c r="N14">
        <f t="shared" si="8"/>
        <v>15.687445510026157</v>
      </c>
      <c r="P14" s="1">
        <v>45729</v>
      </c>
      <c r="Q14">
        <v>54.58</v>
      </c>
      <c r="R14">
        <f t="shared" si="3"/>
        <v>1.3556174558960016E-2</v>
      </c>
      <c r="S14">
        <f t="shared" si="9"/>
        <v>21.986955687703812</v>
      </c>
      <c r="U14" s="1">
        <v>45729</v>
      </c>
      <c r="V14">
        <v>96.25</v>
      </c>
      <c r="W14">
        <f t="shared" si="4"/>
        <v>-1.2921751615219003E-2</v>
      </c>
      <c r="X14">
        <f t="shared" si="10"/>
        <v>22.761474793077497</v>
      </c>
      <c r="Z14">
        <f t="shared" si="11"/>
        <v>105.29644060618973</v>
      </c>
      <c r="AA14" s="10">
        <f t="shared" si="5"/>
        <v>-2.940389050819503E-4</v>
      </c>
    </row>
    <row r="15" spans="1:29" x14ac:dyDescent="0.3">
      <c r="A15" s="1">
        <v>45733</v>
      </c>
      <c r="B15">
        <v>896.45</v>
      </c>
      <c r="C15">
        <f t="shared" si="0"/>
        <v>2.6097407428604211E-2</v>
      </c>
      <c r="D15">
        <f t="shared" si="6"/>
        <v>18.773821989528798</v>
      </c>
      <c r="F15" s="1">
        <v>45733</v>
      </c>
      <c r="G15">
        <v>350.75</v>
      </c>
      <c r="H15">
        <f t="shared" si="1"/>
        <v>0</v>
      </c>
      <c r="I15">
        <f t="shared" si="7"/>
        <v>26.564229536848242</v>
      </c>
      <c r="K15" s="1">
        <v>45733</v>
      </c>
      <c r="L15">
        <v>527.9</v>
      </c>
      <c r="M15">
        <f t="shared" si="2"/>
        <v>2.6843026648511872E-2</v>
      </c>
      <c r="N15">
        <f t="shared" si="8"/>
        <v>16.108544027898866</v>
      </c>
      <c r="P15" s="1">
        <v>45733</v>
      </c>
      <c r="Q15">
        <v>54.5</v>
      </c>
      <c r="R15">
        <f t="shared" si="3"/>
        <v>-1.465738365701691E-3</v>
      </c>
      <c r="S15">
        <f t="shared" si="9"/>
        <v>21.954728563207361</v>
      </c>
      <c r="U15" s="1">
        <v>45733</v>
      </c>
      <c r="V15">
        <v>94.24</v>
      </c>
      <c r="W15">
        <f t="shared" si="4"/>
        <v>-2.0883116883116937E-2</v>
      </c>
      <c r="X15">
        <f t="shared" si="10"/>
        <v>22.28614425454154</v>
      </c>
      <c r="Z15">
        <f t="shared" si="11"/>
        <v>105.68746837202481</v>
      </c>
      <c r="AA15" s="10">
        <f t="shared" si="5"/>
        <v>3.7135895912905337E-3</v>
      </c>
    </row>
    <row r="16" spans="1:29" x14ac:dyDescent="0.3">
      <c r="A16" s="1">
        <v>45734</v>
      </c>
      <c r="B16">
        <v>900.9</v>
      </c>
      <c r="C16">
        <f t="shared" si="0"/>
        <v>4.9640247643481863E-3</v>
      </c>
      <c r="D16">
        <f t="shared" si="6"/>
        <v>18.867015706806281</v>
      </c>
      <c r="F16" s="1">
        <v>45734</v>
      </c>
      <c r="G16">
        <v>362.7</v>
      </c>
      <c r="H16">
        <f t="shared" si="1"/>
        <v>3.4069850320741238E-2</v>
      </c>
      <c r="I16">
        <f t="shared" si="7"/>
        <v>27.469268861054477</v>
      </c>
      <c r="K16" s="1">
        <v>45734</v>
      </c>
      <c r="L16">
        <v>548.35</v>
      </c>
      <c r="M16">
        <f t="shared" si="2"/>
        <v>3.8738397423754588E-2</v>
      </c>
      <c r="N16">
        <f t="shared" si="8"/>
        <v>16.732563208369658</v>
      </c>
      <c r="P16" s="1">
        <v>45734</v>
      </c>
      <c r="Q16">
        <v>54.98</v>
      </c>
      <c r="R16">
        <f t="shared" si="3"/>
        <v>8.8073394495412263E-3</v>
      </c>
      <c r="S16">
        <f t="shared" si="9"/>
        <v>22.148091310186064</v>
      </c>
      <c r="U16" s="1">
        <v>45734</v>
      </c>
      <c r="V16">
        <v>96.23</v>
      </c>
      <c r="W16">
        <f t="shared" si="4"/>
        <v>2.111629881154509E-2</v>
      </c>
      <c r="X16">
        <f t="shared" si="10"/>
        <v>22.756745135977642</v>
      </c>
      <c r="Z16">
        <f t="shared" si="11"/>
        <v>107.97368422239413</v>
      </c>
      <c r="AA16" s="10">
        <f t="shared" si="5"/>
        <v>2.1631853668040657E-2</v>
      </c>
    </row>
    <row r="17" spans="1:27" x14ac:dyDescent="0.3">
      <c r="A17" s="1">
        <v>45735</v>
      </c>
      <c r="B17">
        <v>911.2</v>
      </c>
      <c r="C17">
        <f t="shared" si="0"/>
        <v>1.1433011433011508E-2</v>
      </c>
      <c r="D17">
        <f t="shared" si="6"/>
        <v>19.082722513089003</v>
      </c>
      <c r="F17" s="1">
        <v>45735</v>
      </c>
      <c r="G17">
        <v>371.45</v>
      </c>
      <c r="H17">
        <f t="shared" si="1"/>
        <v>2.4124620898814449E-2</v>
      </c>
      <c r="I17">
        <f t="shared" si="7"/>
        <v>28.131954558695025</v>
      </c>
      <c r="K17" s="1">
        <v>45735</v>
      </c>
      <c r="L17">
        <v>570.75</v>
      </c>
      <c r="M17">
        <f t="shared" si="2"/>
        <v>4.0849822193854246E-2</v>
      </c>
      <c r="N17">
        <f t="shared" si="8"/>
        <v>17.416085440278987</v>
      </c>
      <c r="P17" s="1">
        <v>45735</v>
      </c>
      <c r="Q17">
        <v>57.76</v>
      </c>
      <c r="R17">
        <f t="shared" si="3"/>
        <v>5.056384139687161E-2</v>
      </c>
      <c r="S17">
        <f t="shared" si="9"/>
        <v>23.267983886437744</v>
      </c>
      <c r="U17" s="1">
        <v>45735</v>
      </c>
      <c r="V17">
        <v>99.63</v>
      </c>
      <c r="W17">
        <f t="shared" si="4"/>
        <v>3.5332017042502245E-2</v>
      </c>
      <c r="X17">
        <f t="shared" si="10"/>
        <v>23.560786842953885</v>
      </c>
      <c r="Z17">
        <f t="shared" si="11"/>
        <v>111.45953324145464</v>
      </c>
      <c r="AA17" s="10">
        <f t="shared" si="5"/>
        <v>3.2284246334326028E-2</v>
      </c>
    </row>
    <row r="18" spans="1:27" x14ac:dyDescent="0.3">
      <c r="A18" s="1">
        <v>45736</v>
      </c>
      <c r="B18">
        <v>923.4</v>
      </c>
      <c r="C18">
        <f t="shared" si="0"/>
        <v>1.338893766461801E-2</v>
      </c>
      <c r="D18">
        <f t="shared" si="6"/>
        <v>19.338219895287953</v>
      </c>
      <c r="F18" s="1">
        <v>45736</v>
      </c>
      <c r="G18">
        <v>370.35</v>
      </c>
      <c r="H18">
        <f t="shared" si="1"/>
        <v>-2.961367613406827E-3</v>
      </c>
      <c r="I18">
        <f t="shared" si="7"/>
        <v>28.048645499563072</v>
      </c>
      <c r="K18" s="1">
        <v>45736</v>
      </c>
      <c r="L18">
        <v>562.9</v>
      </c>
      <c r="M18">
        <f t="shared" si="2"/>
        <v>-1.3753832676303149E-2</v>
      </c>
      <c r="N18">
        <f t="shared" si="8"/>
        <v>17.176547515257191</v>
      </c>
      <c r="P18" s="1">
        <v>45736</v>
      </c>
      <c r="Q18">
        <v>58.39</v>
      </c>
      <c r="R18">
        <f t="shared" si="3"/>
        <v>1.0907202216066527E-2</v>
      </c>
      <c r="S18">
        <f t="shared" si="9"/>
        <v>23.521772491847297</v>
      </c>
      <c r="U18" s="1">
        <v>45736</v>
      </c>
      <c r="V18">
        <v>99.17</v>
      </c>
      <c r="W18">
        <f t="shared" si="4"/>
        <v>-4.6170832078690528E-3</v>
      </c>
      <c r="X18">
        <f t="shared" si="10"/>
        <v>23.452004729657101</v>
      </c>
      <c r="Z18">
        <f t="shared" si="11"/>
        <v>111.53719013161262</v>
      </c>
      <c r="AA18" s="10">
        <f t="shared" si="5"/>
        <v>6.9672721479774324E-4</v>
      </c>
    </row>
    <row r="19" spans="1:27" x14ac:dyDescent="0.3">
      <c r="A19" s="1">
        <v>45737</v>
      </c>
      <c r="B19">
        <v>954.25</v>
      </c>
      <c r="C19">
        <f t="shared" si="0"/>
        <v>3.3409140134286357E-2</v>
      </c>
      <c r="D19">
        <f t="shared" si="6"/>
        <v>19.984293193717274</v>
      </c>
      <c r="F19" s="1">
        <v>45737</v>
      </c>
      <c r="G19">
        <v>379.5</v>
      </c>
      <c r="H19">
        <f t="shared" si="1"/>
        <v>2.4706358849736671E-2</v>
      </c>
      <c r="I19">
        <f t="shared" si="7"/>
        <v>28.741625400524331</v>
      </c>
      <c r="K19" s="1">
        <v>45737</v>
      </c>
      <c r="L19">
        <v>559.70000000000005</v>
      </c>
      <c r="M19">
        <f t="shared" si="2"/>
        <v>-5.6848463314974809E-3</v>
      </c>
      <c r="N19">
        <f t="shared" si="8"/>
        <v>17.078901482127289</v>
      </c>
      <c r="P19" s="1">
        <v>45737</v>
      </c>
      <c r="Q19">
        <v>56.5</v>
      </c>
      <c r="R19">
        <f t="shared" si="3"/>
        <v>-3.2368556259633509E-2</v>
      </c>
      <c r="S19">
        <f t="shared" si="9"/>
        <v>22.760406675618636</v>
      </c>
      <c r="U19" s="1">
        <v>45737</v>
      </c>
      <c r="V19">
        <v>102.44</v>
      </c>
      <c r="W19">
        <f t="shared" si="4"/>
        <v>3.2973681556922416E-2</v>
      </c>
      <c r="X19">
        <f t="shared" si="10"/>
        <v>24.225303665484251</v>
      </c>
      <c r="Z19">
        <f t="shared" si="11"/>
        <v>112.79053041747179</v>
      </c>
      <c r="AA19" s="10">
        <f t="shared" si="5"/>
        <v>1.1236972030407522E-2</v>
      </c>
    </row>
    <row r="20" spans="1:27" x14ac:dyDescent="0.3">
      <c r="A20" s="1">
        <v>45740</v>
      </c>
      <c r="B20">
        <v>952.9</v>
      </c>
      <c r="C20">
        <f t="shared" si="0"/>
        <v>-1.414723604925358E-3</v>
      </c>
      <c r="D20">
        <f t="shared" si="6"/>
        <v>19.956020942408372</v>
      </c>
      <c r="F20" s="1">
        <v>45740</v>
      </c>
      <c r="G20">
        <v>383.3</v>
      </c>
      <c r="H20">
        <f t="shared" si="1"/>
        <v>1.0013175230566565E-2</v>
      </c>
      <c r="I20">
        <f t="shared" si="7"/>
        <v>29.029420332071084</v>
      </c>
      <c r="K20" s="1">
        <v>45740</v>
      </c>
      <c r="L20">
        <v>575.25</v>
      </c>
      <c r="M20">
        <f t="shared" si="2"/>
        <v>2.7782740753975261E-2</v>
      </c>
      <c r="N20">
        <f t="shared" si="8"/>
        <v>17.553400174367916</v>
      </c>
      <c r="P20" s="1">
        <v>45740</v>
      </c>
      <c r="Q20">
        <v>57.91</v>
      </c>
      <c r="R20">
        <f t="shared" si="3"/>
        <v>2.4955752212389319E-2</v>
      </c>
      <c r="S20">
        <f t="shared" si="9"/>
        <v>23.328409744868587</v>
      </c>
      <c r="U20" s="1">
        <v>45740</v>
      </c>
      <c r="V20">
        <v>103.86</v>
      </c>
      <c r="W20">
        <f t="shared" si="4"/>
        <v>1.3861772745021494E-2</v>
      </c>
      <c r="X20">
        <f t="shared" si="10"/>
        <v>24.561109319574328</v>
      </c>
      <c r="Z20">
        <f t="shared" si="11"/>
        <v>114.42836051329029</v>
      </c>
      <c r="AA20" s="10">
        <f t="shared" si="5"/>
        <v>1.4520989392960537E-2</v>
      </c>
    </row>
    <row r="21" spans="1:27" x14ac:dyDescent="0.3">
      <c r="A21" s="1">
        <v>45741</v>
      </c>
      <c r="B21">
        <v>923.4</v>
      </c>
      <c r="C21">
        <f t="shared" si="0"/>
        <v>-3.0958127820337918E-2</v>
      </c>
      <c r="D21">
        <f t="shared" si="6"/>
        <v>19.338219895287953</v>
      </c>
      <c r="F21" s="1">
        <v>45741</v>
      </c>
      <c r="G21">
        <v>377.1</v>
      </c>
      <c r="H21">
        <f t="shared" si="1"/>
        <v>-1.6175319593008056E-2</v>
      </c>
      <c r="I21">
        <f t="shared" si="7"/>
        <v>28.559860180600065</v>
      </c>
      <c r="K21" s="1">
        <v>45741</v>
      </c>
      <c r="L21">
        <v>555.35</v>
      </c>
      <c r="M21">
        <f t="shared" si="2"/>
        <v>-3.4593654932637941E-2</v>
      </c>
      <c r="N21">
        <f t="shared" si="8"/>
        <v>16.946163905841324</v>
      </c>
      <c r="P21" s="1">
        <v>45741</v>
      </c>
      <c r="Q21">
        <v>57.65</v>
      </c>
      <c r="R21">
        <f t="shared" si="3"/>
        <v>-4.4897254360213787E-3</v>
      </c>
      <c r="S21">
        <f t="shared" si="9"/>
        <v>23.223671590255123</v>
      </c>
      <c r="U21" s="1">
        <v>45741</v>
      </c>
      <c r="V21">
        <v>100.25</v>
      </c>
      <c r="W21">
        <f t="shared" si="4"/>
        <v>-3.47583285191604E-2</v>
      </c>
      <c r="X21">
        <f t="shared" si="10"/>
        <v>23.707406213049552</v>
      </c>
      <c r="Z21">
        <f t="shared" si="11"/>
        <v>111.77532178503401</v>
      </c>
      <c r="AA21" s="10">
        <f t="shared" si="5"/>
        <v>-2.3185150222860496E-2</v>
      </c>
    </row>
    <row r="22" spans="1:27" x14ac:dyDescent="0.3">
      <c r="A22" s="1">
        <v>45742</v>
      </c>
      <c r="B22">
        <v>912.1</v>
      </c>
      <c r="C22">
        <f t="shared" si="0"/>
        <v>-1.2237383582412774E-2</v>
      </c>
      <c r="D22">
        <f t="shared" si="6"/>
        <v>19.101570680628267</v>
      </c>
      <c r="F22" s="1">
        <v>45742</v>
      </c>
      <c r="G22">
        <v>376</v>
      </c>
      <c r="H22">
        <f t="shared" si="1"/>
        <v>-2.916998143728514E-3</v>
      </c>
      <c r="I22">
        <f t="shared" si="7"/>
        <v>28.476551121468109</v>
      </c>
      <c r="K22" s="1">
        <v>45742</v>
      </c>
      <c r="L22">
        <v>553.04999999999995</v>
      </c>
      <c r="M22">
        <f t="shared" si="2"/>
        <v>-4.1415323669759035E-3</v>
      </c>
      <c r="N22">
        <f t="shared" si="8"/>
        <v>16.875980819529204</v>
      </c>
      <c r="P22" s="1">
        <v>45742</v>
      </c>
      <c r="Q22">
        <v>57.43</v>
      </c>
      <c r="R22">
        <f t="shared" si="3"/>
        <v>-3.8161318300086533E-3</v>
      </c>
      <c r="S22">
        <f t="shared" si="9"/>
        <v>23.135046997889884</v>
      </c>
      <c r="U22" s="1">
        <v>45742</v>
      </c>
      <c r="V22">
        <v>99.98</v>
      </c>
      <c r="W22">
        <f t="shared" si="4"/>
        <v>-2.693266832917666E-3</v>
      </c>
      <c r="X22">
        <f t="shared" si="10"/>
        <v>23.643555842201437</v>
      </c>
      <c r="Z22">
        <f t="shared" si="11"/>
        <v>111.2327054617169</v>
      </c>
      <c r="AA22" s="10">
        <f t="shared" si="5"/>
        <v>-4.8545270516927586E-3</v>
      </c>
    </row>
    <row r="23" spans="1:27" x14ac:dyDescent="0.3">
      <c r="A23" s="1">
        <v>45743</v>
      </c>
      <c r="B23">
        <v>959.9</v>
      </c>
      <c r="C23">
        <f t="shared" si="0"/>
        <v>5.2406534371231175E-2</v>
      </c>
      <c r="D23">
        <f t="shared" si="6"/>
        <v>20.102617801047113</v>
      </c>
      <c r="F23" s="1">
        <v>45743</v>
      </c>
      <c r="G23">
        <v>383.4</v>
      </c>
      <c r="H23">
        <f t="shared" si="1"/>
        <v>1.9680851063829725E-2</v>
      </c>
      <c r="I23">
        <f t="shared" si="7"/>
        <v>29.036993882901257</v>
      </c>
      <c r="K23" s="1">
        <v>45743</v>
      </c>
      <c r="L23">
        <v>548.35</v>
      </c>
      <c r="M23">
        <f t="shared" si="2"/>
        <v>-8.4983274568301813E-3</v>
      </c>
      <c r="N23">
        <f t="shared" si="8"/>
        <v>16.732563208369658</v>
      </c>
      <c r="P23" s="1">
        <v>45743</v>
      </c>
      <c r="Q23">
        <v>57.01</v>
      </c>
      <c r="R23">
        <f t="shared" si="3"/>
        <v>-7.3132509141563941E-3</v>
      </c>
      <c r="S23">
        <f t="shared" si="9"/>
        <v>22.965854594283517</v>
      </c>
      <c r="U23" s="1">
        <v>45743</v>
      </c>
      <c r="V23">
        <v>103.1</v>
      </c>
      <c r="W23">
        <f t="shared" si="4"/>
        <v>3.1206241248249552E-2</v>
      </c>
      <c r="X23">
        <f t="shared" si="10"/>
        <v>24.381382349779631</v>
      </c>
      <c r="Z23">
        <f t="shared" si="11"/>
        <v>113.21941183638118</v>
      </c>
      <c r="AA23" s="10">
        <f t="shared" si="5"/>
        <v>1.7860811408098476E-2</v>
      </c>
    </row>
    <row r="24" spans="1:27" x14ac:dyDescent="0.3">
      <c r="A24" s="1">
        <v>45744</v>
      </c>
      <c r="B24">
        <v>948.65</v>
      </c>
      <c r="C24">
        <f t="shared" si="0"/>
        <v>-1.1719970830294822E-2</v>
      </c>
      <c r="D24">
        <f t="shared" si="6"/>
        <v>19.867015706806274</v>
      </c>
      <c r="F24" s="1">
        <v>45744</v>
      </c>
      <c r="G24">
        <v>375.4</v>
      </c>
      <c r="H24">
        <f t="shared" si="1"/>
        <v>-2.0865936358894107E-2</v>
      </c>
      <c r="I24">
        <f t="shared" si="7"/>
        <v>28.431109816487041</v>
      </c>
      <c r="K24" s="1">
        <v>45744</v>
      </c>
      <c r="L24">
        <v>537.9</v>
      </c>
      <c r="M24">
        <f t="shared" si="2"/>
        <v>-1.9057171514543714E-2</v>
      </c>
      <c r="N24">
        <f t="shared" si="8"/>
        <v>16.413687881429816</v>
      </c>
      <c r="P24" s="1">
        <v>45744</v>
      </c>
      <c r="Q24">
        <v>56.66</v>
      </c>
      <c r="R24">
        <f t="shared" si="3"/>
        <v>-6.139273811612023E-3</v>
      </c>
      <c r="S24">
        <f t="shared" si="9"/>
        <v>22.824860924611542</v>
      </c>
      <c r="U24" s="1">
        <v>45744</v>
      </c>
      <c r="V24">
        <v>100.61</v>
      </c>
      <c r="W24">
        <f t="shared" si="4"/>
        <v>-2.4151309408341367E-2</v>
      </c>
      <c r="X24">
        <f t="shared" si="10"/>
        <v>23.792540040847033</v>
      </c>
      <c r="Z24">
        <f t="shared" si="11"/>
        <v>111.3292143701817</v>
      </c>
      <c r="AA24" s="10">
        <f t="shared" si="5"/>
        <v>-1.6694994573290156E-2</v>
      </c>
    </row>
    <row r="25" spans="1:27" x14ac:dyDescent="0.3">
      <c r="A25" s="1">
        <v>45748</v>
      </c>
      <c r="B25">
        <v>919.15</v>
      </c>
      <c r="C25">
        <f t="shared" si="0"/>
        <v>-3.1096821799399148E-2</v>
      </c>
      <c r="D25">
        <f t="shared" si="6"/>
        <v>19.249214659685858</v>
      </c>
      <c r="F25" s="1">
        <v>45748</v>
      </c>
      <c r="G25">
        <v>374.75</v>
      </c>
      <c r="H25">
        <f t="shared" si="1"/>
        <v>-1.7314864144911488E-3</v>
      </c>
      <c r="I25">
        <f t="shared" si="7"/>
        <v>28.381881736090886</v>
      </c>
      <c r="K25" s="1">
        <v>45748</v>
      </c>
      <c r="L25">
        <v>522.5</v>
      </c>
      <c r="M25">
        <f t="shared" si="2"/>
        <v>-2.8629856850715705E-2</v>
      </c>
      <c r="N25">
        <f t="shared" si="8"/>
        <v>15.943766346992152</v>
      </c>
      <c r="P25" s="1">
        <v>45748</v>
      </c>
      <c r="Q25">
        <v>55.75</v>
      </c>
      <c r="R25">
        <f t="shared" si="3"/>
        <v>-1.6060713025061714E-2</v>
      </c>
      <c r="S25">
        <f t="shared" si="9"/>
        <v>22.458277383464409</v>
      </c>
      <c r="U25" s="1">
        <v>45748</v>
      </c>
      <c r="V25">
        <v>99.3</v>
      </c>
      <c r="W25">
        <f t="shared" si="4"/>
        <v>-1.3020574495577003E-2</v>
      </c>
      <c r="X25">
        <f t="shared" si="10"/>
        <v>23.482747500806184</v>
      </c>
      <c r="Z25">
        <f t="shared" si="11"/>
        <v>109.51588762703949</v>
      </c>
      <c r="AA25" s="10">
        <f t="shared" si="5"/>
        <v>-1.6287968557046506E-2</v>
      </c>
    </row>
    <row r="26" spans="1:27" x14ac:dyDescent="0.3">
      <c r="A26" s="1">
        <v>45749</v>
      </c>
      <c r="B26">
        <v>943.05</v>
      </c>
      <c r="C26">
        <f t="shared" si="0"/>
        <v>2.6002284719577846E-2</v>
      </c>
      <c r="D26">
        <f t="shared" si="6"/>
        <v>19.749738219895281</v>
      </c>
      <c r="F26" s="1">
        <v>45749</v>
      </c>
      <c r="G26">
        <v>378.25</v>
      </c>
      <c r="H26">
        <f t="shared" si="1"/>
        <v>9.3395597064709814E-3</v>
      </c>
      <c r="I26">
        <f t="shared" si="7"/>
        <v>28.646956015147104</v>
      </c>
      <c r="K26" s="1">
        <v>45749</v>
      </c>
      <c r="L26">
        <v>526.25</v>
      </c>
      <c r="M26">
        <f t="shared" si="2"/>
        <v>7.1770334928229667E-3</v>
      </c>
      <c r="N26">
        <f t="shared" si="8"/>
        <v>16.058195292066259</v>
      </c>
      <c r="P26" s="1">
        <v>45749</v>
      </c>
      <c r="Q26">
        <v>57.43</v>
      </c>
      <c r="R26">
        <f t="shared" si="3"/>
        <v>3.0134529147982057E-2</v>
      </c>
      <c r="S26">
        <f t="shared" si="9"/>
        <v>23.135046997889884</v>
      </c>
      <c r="U26" s="1">
        <v>45749</v>
      </c>
      <c r="V26">
        <v>98.53</v>
      </c>
      <c r="W26">
        <f t="shared" si="4"/>
        <v>-7.7542799597179867E-3</v>
      </c>
      <c r="X26">
        <f t="shared" si="10"/>
        <v>23.300655702461565</v>
      </c>
      <c r="Z26">
        <f t="shared" si="11"/>
        <v>110.89059222746009</v>
      </c>
      <c r="AA26" s="10">
        <f t="shared" si="5"/>
        <v>1.2552558630599897E-2</v>
      </c>
    </row>
    <row r="27" spans="1:27" x14ac:dyDescent="0.3">
      <c r="A27" s="1">
        <v>45750</v>
      </c>
      <c r="B27">
        <v>955.3</v>
      </c>
      <c r="C27">
        <f t="shared" si="0"/>
        <v>1.2989767244578761E-2</v>
      </c>
      <c r="D27">
        <f t="shared" si="6"/>
        <v>20.006282722513081</v>
      </c>
      <c r="F27" s="1">
        <v>45750</v>
      </c>
      <c r="G27">
        <v>385.65</v>
      </c>
      <c r="H27">
        <f t="shared" si="1"/>
        <v>1.9563780568407078E-2</v>
      </c>
      <c r="I27">
        <f t="shared" si="7"/>
        <v>29.207398776580249</v>
      </c>
      <c r="K27" s="1">
        <v>45750</v>
      </c>
      <c r="L27">
        <v>527.15</v>
      </c>
      <c r="M27">
        <f t="shared" si="2"/>
        <v>1.7102137767220471E-3</v>
      </c>
      <c r="N27">
        <f t="shared" si="8"/>
        <v>16.085658238884044</v>
      </c>
      <c r="P27" s="1">
        <v>45750</v>
      </c>
      <c r="Q27">
        <v>57.49</v>
      </c>
      <c r="R27">
        <f t="shared" si="3"/>
        <v>1.0447501305938058E-3</v>
      </c>
      <c r="S27">
        <f t="shared" si="9"/>
        <v>23.159217341262224</v>
      </c>
      <c r="U27" s="1">
        <v>45750</v>
      </c>
      <c r="V27">
        <v>100.09</v>
      </c>
      <c r="W27">
        <f t="shared" si="4"/>
        <v>1.5832741297066907E-2</v>
      </c>
      <c r="X27">
        <f t="shared" si="10"/>
        <v>23.669568956250664</v>
      </c>
      <c r="Z27">
        <f t="shared" si="11"/>
        <v>112.12812603549025</v>
      </c>
      <c r="AA27" s="10">
        <f t="shared" si="5"/>
        <v>1.1159953095856157E-2</v>
      </c>
    </row>
    <row r="28" spans="1:27" x14ac:dyDescent="0.3">
      <c r="A28" s="1">
        <v>45751</v>
      </c>
      <c r="B28">
        <v>923.8</v>
      </c>
      <c r="C28">
        <f t="shared" si="0"/>
        <v>-3.2973934889563489E-2</v>
      </c>
      <c r="D28">
        <f t="shared" si="6"/>
        <v>19.346596858638737</v>
      </c>
      <c r="F28" s="1">
        <v>45751</v>
      </c>
      <c r="G28">
        <v>368.95</v>
      </c>
      <c r="H28">
        <f t="shared" si="1"/>
        <v>-4.3303513548554363E-2</v>
      </c>
      <c r="I28">
        <f t="shared" si="7"/>
        <v>27.942615787940575</v>
      </c>
      <c r="K28" s="1">
        <v>45751</v>
      </c>
      <c r="L28">
        <v>506.4</v>
      </c>
      <c r="M28">
        <f t="shared" si="2"/>
        <v>-3.936261026273357E-2</v>
      </c>
      <c r="N28">
        <f t="shared" si="8"/>
        <v>15.452484742807322</v>
      </c>
      <c r="P28" s="1">
        <v>45751</v>
      </c>
      <c r="Q28">
        <v>55.36</v>
      </c>
      <c r="R28">
        <f t="shared" si="3"/>
        <v>-3.7049921725517528E-2</v>
      </c>
      <c r="S28">
        <f t="shared" si="9"/>
        <v>22.301170151544209</v>
      </c>
      <c r="U28" s="1">
        <v>45751</v>
      </c>
      <c r="V28">
        <v>96.69</v>
      </c>
      <c r="W28">
        <f t="shared" si="4"/>
        <v>-3.3969427515236343E-2</v>
      </c>
      <c r="X28">
        <f t="shared" si="10"/>
        <v>22.865527249274418</v>
      </c>
      <c r="Z28">
        <f t="shared" si="11"/>
        <v>107.90839479020526</v>
      </c>
      <c r="AA28" s="10">
        <f t="shared" si="5"/>
        <v>-3.7633120203483861E-2</v>
      </c>
    </row>
    <row r="29" spans="1:27" x14ac:dyDescent="0.3">
      <c r="A29" s="1">
        <v>45754</v>
      </c>
      <c r="B29">
        <v>873.3</v>
      </c>
      <c r="C29">
        <f t="shared" si="0"/>
        <v>-5.4665512015587794E-2</v>
      </c>
      <c r="D29">
        <f t="shared" si="6"/>
        <v>18.289005235602087</v>
      </c>
      <c r="F29" s="1">
        <v>45754</v>
      </c>
      <c r="G29">
        <v>354.85</v>
      </c>
      <c r="H29">
        <f t="shared" si="1"/>
        <v>-3.8216560509554048E-2</v>
      </c>
      <c r="I29">
        <f t="shared" si="7"/>
        <v>26.874745120885525</v>
      </c>
      <c r="K29" s="1">
        <v>45754</v>
      </c>
      <c r="L29">
        <v>488.4</v>
      </c>
      <c r="M29">
        <f t="shared" si="2"/>
        <v>-3.5545023696682464E-2</v>
      </c>
      <c r="N29">
        <f t="shared" si="8"/>
        <v>14.903225806451612</v>
      </c>
      <c r="P29" s="1">
        <v>45754</v>
      </c>
      <c r="Q29">
        <v>52.12</v>
      </c>
      <c r="R29">
        <f t="shared" si="3"/>
        <v>-5.8526011560693675E-2</v>
      </c>
      <c r="S29">
        <f t="shared" si="9"/>
        <v>20.995971609437934</v>
      </c>
      <c r="U29" s="1">
        <v>45754</v>
      </c>
      <c r="V29">
        <v>94.82</v>
      </c>
      <c r="W29">
        <f t="shared" si="4"/>
        <v>-1.9340159271899932E-2</v>
      </c>
      <c r="X29">
        <f t="shared" si="10"/>
        <v>22.423304310437484</v>
      </c>
      <c r="Z29">
        <f t="shared" si="11"/>
        <v>103.48625208281464</v>
      </c>
      <c r="AA29" s="10">
        <f t="shared" si="5"/>
        <v>-4.0980525342705021E-2</v>
      </c>
    </row>
    <row r="30" spans="1:27" x14ac:dyDescent="0.3">
      <c r="A30" s="1">
        <v>45755</v>
      </c>
      <c r="B30">
        <v>875.8</v>
      </c>
      <c r="C30">
        <f t="shared" si="0"/>
        <v>2.8627046833848624E-3</v>
      </c>
      <c r="D30">
        <f t="shared" si="6"/>
        <v>18.341361256544495</v>
      </c>
      <c r="F30" s="1">
        <v>45755</v>
      </c>
      <c r="G30">
        <v>359.7</v>
      </c>
      <c r="H30">
        <f t="shared" si="1"/>
        <v>1.3667746935324689E-2</v>
      </c>
      <c r="I30">
        <f t="shared" si="7"/>
        <v>27.242062336149143</v>
      </c>
      <c r="K30" s="1">
        <v>45755</v>
      </c>
      <c r="L30">
        <v>490.25</v>
      </c>
      <c r="M30">
        <f t="shared" si="2"/>
        <v>3.7878787878788348E-3</v>
      </c>
      <c r="N30">
        <f t="shared" si="8"/>
        <v>14.95967741935484</v>
      </c>
      <c r="P30" s="1">
        <v>45755</v>
      </c>
      <c r="Q30">
        <v>53.08</v>
      </c>
      <c r="R30">
        <f t="shared" si="3"/>
        <v>1.8419033000767478E-2</v>
      </c>
      <c r="S30">
        <f t="shared" si="9"/>
        <v>21.382697103395348</v>
      </c>
      <c r="U30" s="1">
        <v>45755</v>
      </c>
      <c r="V30">
        <v>96.42</v>
      </c>
      <c r="W30">
        <f t="shared" si="4"/>
        <v>1.6874077198903277E-2</v>
      </c>
      <c r="X30">
        <f t="shared" si="10"/>
        <v>22.801676878426306</v>
      </c>
      <c r="Z30">
        <f t="shared" si="11"/>
        <v>104.72747499387012</v>
      </c>
      <c r="AA30" s="10">
        <f t="shared" si="5"/>
        <v>1.1994085069987781E-2</v>
      </c>
    </row>
    <row r="31" spans="1:27" x14ac:dyDescent="0.3">
      <c r="A31" s="1">
        <v>45756</v>
      </c>
      <c r="B31">
        <v>860.75</v>
      </c>
      <c r="C31">
        <f t="shared" si="0"/>
        <v>-1.7184288650376748E-2</v>
      </c>
      <c r="D31">
        <f t="shared" si="6"/>
        <v>18.026178010471195</v>
      </c>
      <c r="F31" s="1">
        <v>45756</v>
      </c>
      <c r="G31">
        <v>358.25</v>
      </c>
      <c r="H31">
        <f t="shared" si="1"/>
        <v>-4.0311370586599629E-3</v>
      </c>
      <c r="I31">
        <f t="shared" si="7"/>
        <v>27.132245849111566</v>
      </c>
      <c r="K31" s="1">
        <v>45756</v>
      </c>
      <c r="L31">
        <v>482.3</v>
      </c>
      <c r="M31">
        <f t="shared" si="2"/>
        <v>-1.6216216216216193E-2</v>
      </c>
      <c r="N31">
        <f t="shared" si="8"/>
        <v>14.717088055797735</v>
      </c>
      <c r="P31" s="1">
        <v>45756</v>
      </c>
      <c r="Q31">
        <v>51.21</v>
      </c>
      <c r="R31">
        <f t="shared" si="3"/>
        <v>-3.5229841748304402E-2</v>
      </c>
      <c r="S31">
        <f t="shared" si="9"/>
        <v>20.629388068290805</v>
      </c>
      <c r="U31" s="1">
        <v>45756</v>
      </c>
      <c r="V31">
        <v>95.05</v>
      </c>
      <c r="W31">
        <f t="shared" si="4"/>
        <v>-1.4208670400331929E-2</v>
      </c>
      <c r="X31">
        <f t="shared" si="10"/>
        <v>22.477695367085879</v>
      </c>
      <c r="Z31">
        <f t="shared" si="11"/>
        <v>102.98259535075718</v>
      </c>
      <c r="AA31" s="10">
        <f t="shared" si="5"/>
        <v>-1.6661144969026265E-2</v>
      </c>
    </row>
    <row r="32" spans="1:27" x14ac:dyDescent="0.3">
      <c r="A32" s="1">
        <v>45758</v>
      </c>
      <c r="B32">
        <v>893.65</v>
      </c>
      <c r="C32">
        <f t="shared" si="0"/>
        <v>3.8222480395004331E-2</v>
      </c>
      <c r="D32">
        <f t="shared" si="6"/>
        <v>18.715183246073291</v>
      </c>
      <c r="F32" s="1">
        <v>45758</v>
      </c>
      <c r="G32">
        <v>364.45</v>
      </c>
      <c r="H32">
        <f t="shared" si="1"/>
        <v>1.7306350314026487E-2</v>
      </c>
      <c r="I32">
        <f t="shared" si="7"/>
        <v>27.601806000582581</v>
      </c>
      <c r="K32" s="1">
        <v>45758</v>
      </c>
      <c r="L32">
        <v>493.95</v>
      </c>
      <c r="M32">
        <f t="shared" si="2"/>
        <v>2.4155090192825995E-2</v>
      </c>
      <c r="N32">
        <f t="shared" si="8"/>
        <v>15.072580645161292</v>
      </c>
      <c r="P32" s="1">
        <v>45758</v>
      </c>
      <c r="Q32">
        <v>53</v>
      </c>
      <c r="R32">
        <f t="shared" si="3"/>
        <v>3.4954110525288011E-2</v>
      </c>
      <c r="S32">
        <f t="shared" si="9"/>
        <v>21.350469978898897</v>
      </c>
      <c r="U32" s="1">
        <v>45758</v>
      </c>
      <c r="V32">
        <v>95.79</v>
      </c>
      <c r="W32">
        <f t="shared" si="4"/>
        <v>7.7853761178328157E-3</v>
      </c>
      <c r="X32">
        <f t="shared" si="10"/>
        <v>22.65269267978071</v>
      </c>
      <c r="Z32">
        <f t="shared" si="11"/>
        <v>105.39273255049677</v>
      </c>
      <c r="AA32" s="10">
        <f t="shared" si="5"/>
        <v>2.3403344919893598E-2</v>
      </c>
    </row>
    <row r="33" spans="1:27" x14ac:dyDescent="0.3">
      <c r="A33" s="1">
        <v>45762</v>
      </c>
      <c r="B33">
        <v>936.65</v>
      </c>
      <c r="C33">
        <f t="shared" si="0"/>
        <v>4.8117271862586027E-2</v>
      </c>
      <c r="D33">
        <f t="shared" si="6"/>
        <v>19.615706806282713</v>
      </c>
      <c r="F33" s="1">
        <v>45762</v>
      </c>
      <c r="G33">
        <v>378.5</v>
      </c>
      <c r="H33">
        <f t="shared" si="1"/>
        <v>3.8551241596926911E-2</v>
      </c>
      <c r="I33">
        <f t="shared" si="7"/>
        <v>28.665889892222548</v>
      </c>
      <c r="K33" s="1">
        <v>45762</v>
      </c>
      <c r="L33">
        <v>512.6</v>
      </c>
      <c r="M33">
        <f t="shared" si="2"/>
        <v>3.7756857981577151E-2</v>
      </c>
      <c r="N33">
        <f t="shared" si="8"/>
        <v>15.641673931996516</v>
      </c>
      <c r="P33" s="1">
        <v>45762</v>
      </c>
      <c r="Q33">
        <v>54.37</v>
      </c>
      <c r="R33">
        <f t="shared" si="3"/>
        <v>2.5849056603773537E-2</v>
      </c>
      <c r="S33">
        <f t="shared" si="9"/>
        <v>21.902359485900622</v>
      </c>
      <c r="U33" s="1">
        <v>45762</v>
      </c>
      <c r="V33">
        <v>98.92</v>
      </c>
      <c r="W33">
        <f t="shared" si="4"/>
        <v>3.2675644639315118E-2</v>
      </c>
      <c r="X33">
        <f t="shared" si="10"/>
        <v>23.392884015908837</v>
      </c>
      <c r="Z33">
        <f t="shared" si="11"/>
        <v>109.21851413231124</v>
      </c>
      <c r="AA33" s="10">
        <f t="shared" si="5"/>
        <v>3.630024091064743E-2</v>
      </c>
    </row>
    <row r="34" spans="1:27" x14ac:dyDescent="0.3">
      <c r="A34" s="1">
        <v>45763</v>
      </c>
      <c r="B34">
        <v>945.6</v>
      </c>
      <c r="C34">
        <f t="shared" si="0"/>
        <v>9.5553301660172372E-3</v>
      </c>
      <c r="D34">
        <f t="shared" si="6"/>
        <v>19.803141361256536</v>
      </c>
      <c r="F34" s="1">
        <v>45763</v>
      </c>
      <c r="G34">
        <v>381.25</v>
      </c>
      <c r="H34">
        <f t="shared" si="1"/>
        <v>7.2655217965653896E-3</v>
      </c>
      <c r="I34">
        <f t="shared" si="7"/>
        <v>28.874162540052435</v>
      </c>
      <c r="K34" s="1">
        <v>45763</v>
      </c>
      <c r="L34">
        <v>509.7</v>
      </c>
      <c r="M34">
        <f t="shared" si="2"/>
        <v>-5.657432696059372E-3</v>
      </c>
      <c r="N34">
        <f t="shared" si="8"/>
        <v>15.553182214472541</v>
      </c>
      <c r="P34" s="1">
        <v>45763</v>
      </c>
      <c r="Q34">
        <v>54.34</v>
      </c>
      <c r="R34">
        <f t="shared" si="3"/>
        <v>-5.5177487585054323E-4</v>
      </c>
      <c r="S34">
        <f t="shared" si="9"/>
        <v>21.890274314214455</v>
      </c>
      <c r="U34" s="1">
        <v>45763</v>
      </c>
      <c r="V34">
        <v>105.76</v>
      </c>
      <c r="W34">
        <f t="shared" si="4"/>
        <v>6.9146785281035211E-2</v>
      </c>
      <c r="X34">
        <f t="shared" si="10"/>
        <v>25.010426744061046</v>
      </c>
      <c r="Z34">
        <f t="shared" si="11"/>
        <v>111.13118717405702</v>
      </c>
      <c r="AA34" s="10">
        <f t="shared" si="5"/>
        <v>1.751235179256061E-2</v>
      </c>
    </row>
    <row r="35" spans="1:27" x14ac:dyDescent="0.3">
      <c r="A35" s="1">
        <v>45764</v>
      </c>
      <c r="B35">
        <v>947.15</v>
      </c>
      <c r="C35">
        <f t="shared" si="0"/>
        <v>1.6391708967850619E-3</v>
      </c>
      <c r="D35">
        <f t="shared" si="6"/>
        <v>19.83560209424083</v>
      </c>
      <c r="F35" s="1">
        <v>45764</v>
      </c>
      <c r="G35">
        <v>381.7</v>
      </c>
      <c r="H35">
        <f t="shared" si="1"/>
        <v>1.1803278688524291E-3</v>
      </c>
      <c r="I35">
        <f t="shared" si="7"/>
        <v>28.908243518788236</v>
      </c>
      <c r="K35" s="1">
        <v>45764</v>
      </c>
      <c r="L35">
        <v>507.9</v>
      </c>
      <c r="M35">
        <f t="shared" si="2"/>
        <v>-3.5314891112419294E-3</v>
      </c>
      <c r="N35">
        <f t="shared" si="8"/>
        <v>15.498256320836969</v>
      </c>
      <c r="P35" s="1">
        <v>45764</v>
      </c>
      <c r="Q35">
        <v>55.07</v>
      </c>
      <c r="R35">
        <f t="shared" si="3"/>
        <v>1.3433934486566008E-2</v>
      </c>
      <c r="S35">
        <f t="shared" si="9"/>
        <v>22.184346825244567</v>
      </c>
      <c r="U35" s="1">
        <v>45764</v>
      </c>
      <c r="V35">
        <v>108.25</v>
      </c>
      <c r="W35">
        <f t="shared" si="4"/>
        <v>2.3543872919818406E-2</v>
      </c>
      <c r="X35">
        <f t="shared" si="10"/>
        <v>25.599269052993645</v>
      </c>
      <c r="Z35">
        <f t="shared" si="11"/>
        <v>112.02571781210425</v>
      </c>
      <c r="AA35" s="10">
        <f t="shared" si="5"/>
        <v>8.049321354285377E-3</v>
      </c>
    </row>
    <row r="36" spans="1:27" x14ac:dyDescent="0.3">
      <c r="A36" s="1">
        <v>45768</v>
      </c>
      <c r="B36">
        <v>956.25</v>
      </c>
      <c r="C36">
        <f t="shared" si="0"/>
        <v>9.607770680462464E-3</v>
      </c>
      <c r="D36">
        <f t="shared" si="6"/>
        <v>20.026178010471199</v>
      </c>
      <c r="F36" s="1">
        <v>45768</v>
      </c>
      <c r="G36">
        <v>390.85</v>
      </c>
      <c r="H36">
        <f t="shared" si="1"/>
        <v>2.3971705527901583E-2</v>
      </c>
      <c r="I36">
        <f t="shared" si="7"/>
        <v>29.601223419749498</v>
      </c>
      <c r="K36" s="1">
        <v>45768</v>
      </c>
      <c r="L36">
        <v>521.35</v>
      </c>
      <c r="M36">
        <f t="shared" si="2"/>
        <v>2.6481590864343464E-2</v>
      </c>
      <c r="N36">
        <f t="shared" si="8"/>
        <v>15.908674803836098</v>
      </c>
      <c r="P36" s="1">
        <v>45768</v>
      </c>
      <c r="Q36">
        <v>60.29</v>
      </c>
      <c r="R36">
        <f t="shared" si="3"/>
        <v>9.478845106228434E-2</v>
      </c>
      <c r="S36">
        <f t="shared" si="9"/>
        <v>24.287166698638003</v>
      </c>
      <c r="U36" s="1">
        <v>45768</v>
      </c>
      <c r="V36">
        <v>107.44</v>
      </c>
      <c r="W36">
        <f t="shared" si="4"/>
        <v>-7.4826789838337389E-3</v>
      </c>
      <c r="X36">
        <f t="shared" si="10"/>
        <v>25.407717940449306</v>
      </c>
      <c r="Z36">
        <f t="shared" si="11"/>
        <v>115.2309608731441</v>
      </c>
      <c r="AA36" s="10">
        <f t="shared" si="5"/>
        <v>2.8611671709311004E-2</v>
      </c>
    </row>
    <row r="37" spans="1:27" x14ac:dyDescent="0.3">
      <c r="A37" s="1">
        <v>45769</v>
      </c>
      <c r="B37">
        <v>943.3</v>
      </c>
      <c r="C37">
        <f t="shared" si="0"/>
        <v>-1.3542483660130767E-2</v>
      </c>
      <c r="D37">
        <f t="shared" si="6"/>
        <v>19.754973821989523</v>
      </c>
      <c r="F37" s="1">
        <v>45769</v>
      </c>
      <c r="G37">
        <v>388.6</v>
      </c>
      <c r="H37">
        <f t="shared" si="1"/>
        <v>-5.7566841499296405E-3</v>
      </c>
      <c r="I37">
        <f t="shared" si="7"/>
        <v>29.4308185260705</v>
      </c>
      <c r="K37" s="1">
        <v>45769</v>
      </c>
      <c r="L37">
        <v>509.2</v>
      </c>
      <c r="M37">
        <f t="shared" si="2"/>
        <v>-2.3304881557495029E-2</v>
      </c>
      <c r="N37">
        <f t="shared" si="8"/>
        <v>15.537925021795992</v>
      </c>
      <c r="P37" s="1">
        <v>45769</v>
      </c>
      <c r="Q37">
        <v>59.27</v>
      </c>
      <c r="R37">
        <f t="shared" si="3"/>
        <v>-1.6918228561950507E-2</v>
      </c>
      <c r="S37">
        <f t="shared" si="9"/>
        <v>23.876270861308253</v>
      </c>
      <c r="U37" s="1">
        <v>45769</v>
      </c>
      <c r="V37">
        <v>107.94</v>
      </c>
      <c r="W37">
        <f t="shared" si="4"/>
        <v>4.6537602382725239E-3</v>
      </c>
      <c r="X37">
        <f t="shared" si="10"/>
        <v>25.525959367945813</v>
      </c>
      <c r="Z37">
        <f t="shared" si="11"/>
        <v>114.12594759911008</v>
      </c>
      <c r="AA37" s="10">
        <f t="shared" si="5"/>
        <v>-9.5895518501361021E-3</v>
      </c>
    </row>
    <row r="38" spans="1:27" x14ac:dyDescent="0.3">
      <c r="A38" s="1">
        <v>45770</v>
      </c>
      <c r="B38">
        <v>952.5</v>
      </c>
      <c r="C38">
        <f t="shared" si="0"/>
        <v>9.7529948054702071E-3</v>
      </c>
      <c r="D38">
        <f t="shared" si="6"/>
        <v>19.947643979057588</v>
      </c>
      <c r="F38" s="1">
        <v>45770</v>
      </c>
      <c r="G38">
        <v>394.45</v>
      </c>
      <c r="H38">
        <f t="shared" si="1"/>
        <v>1.5054040144106962E-2</v>
      </c>
      <c r="I38">
        <f t="shared" si="7"/>
        <v>29.873871249635894</v>
      </c>
      <c r="K38" s="1">
        <v>45770</v>
      </c>
      <c r="L38">
        <v>508.85</v>
      </c>
      <c r="M38">
        <f t="shared" si="2"/>
        <v>-6.873527101334758E-4</v>
      </c>
      <c r="N38">
        <f t="shared" si="8"/>
        <v>15.52724498692241</v>
      </c>
      <c r="P38" s="1">
        <v>45770</v>
      </c>
      <c r="Q38">
        <v>59.99</v>
      </c>
      <c r="R38">
        <f t="shared" si="3"/>
        <v>1.2147798211574133E-2</v>
      </c>
      <c r="S38">
        <f t="shared" si="9"/>
        <v>24.166314981776313</v>
      </c>
      <c r="U38" s="1">
        <v>45770</v>
      </c>
      <c r="V38">
        <v>107.26</v>
      </c>
      <c r="W38">
        <f t="shared" si="4"/>
        <v>-6.2997961830645972E-3</v>
      </c>
      <c r="X38">
        <f t="shared" si="10"/>
        <v>25.365151026550564</v>
      </c>
      <c r="Z38">
        <f t="shared" si="11"/>
        <v>114.88022622394277</v>
      </c>
      <c r="AA38" s="10">
        <f t="shared" si="5"/>
        <v>6.609177322954185E-3</v>
      </c>
    </row>
    <row r="39" spans="1:27" x14ac:dyDescent="0.3">
      <c r="A39" s="1">
        <v>45771</v>
      </c>
      <c r="B39">
        <v>968.95</v>
      </c>
      <c r="C39">
        <f t="shared" si="0"/>
        <v>1.7270341207349129E-2</v>
      </c>
      <c r="D39">
        <f t="shared" si="6"/>
        <v>20.292146596858636</v>
      </c>
      <c r="F39" s="1">
        <v>45771</v>
      </c>
      <c r="G39">
        <v>395.85</v>
      </c>
      <c r="H39">
        <f t="shared" si="1"/>
        <v>3.5492457852707164E-3</v>
      </c>
      <c r="I39">
        <f t="shared" si="7"/>
        <v>29.979900961258387</v>
      </c>
      <c r="K39" s="1">
        <v>45771</v>
      </c>
      <c r="L39">
        <v>503.8</v>
      </c>
      <c r="M39">
        <f t="shared" si="2"/>
        <v>-9.9243391962268081E-3</v>
      </c>
      <c r="N39">
        <f t="shared" si="8"/>
        <v>15.373147340889279</v>
      </c>
      <c r="P39" s="1">
        <v>45771</v>
      </c>
      <c r="Q39">
        <v>60.11</v>
      </c>
      <c r="R39">
        <f t="shared" si="3"/>
        <v>2.0003333888981068E-3</v>
      </c>
      <c r="S39">
        <f t="shared" si="9"/>
        <v>24.214655668520987</v>
      </c>
      <c r="U39" s="1">
        <v>45771</v>
      </c>
      <c r="V39">
        <v>107.29</v>
      </c>
      <c r="W39">
        <f t="shared" si="4"/>
        <v>2.7969420100690972E-4</v>
      </c>
      <c r="X39">
        <f t="shared" si="10"/>
        <v>25.372245512200351</v>
      </c>
      <c r="Z39">
        <f t="shared" si="11"/>
        <v>115.23209607972763</v>
      </c>
      <c r="AA39" s="10">
        <f t="shared" si="5"/>
        <v>3.0629279498364248E-3</v>
      </c>
    </row>
    <row r="40" spans="1:27" x14ac:dyDescent="0.3">
      <c r="A40" s="1">
        <v>45772</v>
      </c>
      <c r="B40">
        <v>912.55</v>
      </c>
      <c r="C40">
        <f t="shared" si="0"/>
        <v>-5.8207337839929915E-2</v>
      </c>
      <c r="D40">
        <f t="shared" si="6"/>
        <v>19.110994764397901</v>
      </c>
      <c r="F40" s="1">
        <v>45772</v>
      </c>
      <c r="G40">
        <v>387.6</v>
      </c>
      <c r="H40">
        <f t="shared" si="1"/>
        <v>-2.0841227737779459E-2</v>
      </c>
      <c r="I40">
        <f t="shared" si="7"/>
        <v>29.355083017768731</v>
      </c>
      <c r="K40" s="1">
        <v>45772</v>
      </c>
      <c r="L40">
        <v>482.7</v>
      </c>
      <c r="M40">
        <f t="shared" si="2"/>
        <v>-4.1881699086939304E-2</v>
      </c>
      <c r="N40">
        <f t="shared" si="8"/>
        <v>14.729293809938973</v>
      </c>
      <c r="P40" s="1">
        <v>45772</v>
      </c>
      <c r="Q40">
        <v>58.3</v>
      </c>
      <c r="R40">
        <f t="shared" si="3"/>
        <v>-3.0111462319081721E-2</v>
      </c>
      <c r="S40">
        <f t="shared" si="9"/>
        <v>23.48551697678878</v>
      </c>
      <c r="U40" s="1">
        <v>45772</v>
      </c>
      <c r="V40">
        <v>103.38</v>
      </c>
      <c r="W40">
        <f t="shared" si="4"/>
        <v>-3.6443284555876691E-2</v>
      </c>
      <c r="X40">
        <f t="shared" si="10"/>
        <v>24.447597549177669</v>
      </c>
      <c r="Z40">
        <f t="shared" si="11"/>
        <v>111.12848611807205</v>
      </c>
      <c r="AA40" s="10">
        <f t="shared" si="5"/>
        <v>-3.5611692412644724E-2</v>
      </c>
    </row>
    <row r="41" spans="1:27" x14ac:dyDescent="0.3">
      <c r="A41" s="1">
        <v>45775</v>
      </c>
      <c r="B41">
        <v>941</v>
      </c>
      <c r="C41">
        <f t="shared" si="0"/>
        <v>3.1176373897320746E-2</v>
      </c>
      <c r="D41">
        <f t="shared" si="6"/>
        <v>19.706806282722511</v>
      </c>
      <c r="F41" s="1">
        <v>45775</v>
      </c>
      <c r="G41">
        <v>395.1</v>
      </c>
      <c r="H41">
        <f t="shared" si="1"/>
        <v>1.9349845201238388E-2</v>
      </c>
      <c r="I41">
        <f t="shared" si="7"/>
        <v>29.923099330032059</v>
      </c>
      <c r="K41" s="1">
        <v>45775</v>
      </c>
      <c r="L41">
        <v>476.2</v>
      </c>
      <c r="M41">
        <f t="shared" si="2"/>
        <v>-1.3465920861818935E-2</v>
      </c>
      <c r="N41">
        <f t="shared" si="8"/>
        <v>14.530950305143854</v>
      </c>
      <c r="P41" s="1">
        <v>45775</v>
      </c>
      <c r="Q41">
        <v>57.78</v>
      </c>
      <c r="R41">
        <f t="shared" si="3"/>
        <v>-8.9193825042880974E-3</v>
      </c>
      <c r="S41">
        <f t="shared" si="9"/>
        <v>23.276040667561848</v>
      </c>
      <c r="U41" s="1">
        <v>45775</v>
      </c>
      <c r="V41">
        <v>103.2</v>
      </c>
      <c r="W41">
        <f t="shared" si="4"/>
        <v>-1.7411491584445021E-3</v>
      </c>
      <c r="X41">
        <f t="shared" si="10"/>
        <v>24.40503063527893</v>
      </c>
      <c r="Z41">
        <f t="shared" si="11"/>
        <v>111.84192722073919</v>
      </c>
      <c r="AA41" s="10">
        <f t="shared" si="5"/>
        <v>6.4199660014185866E-3</v>
      </c>
    </row>
    <row r="42" spans="1:27" x14ac:dyDescent="0.3">
      <c r="A42" s="1">
        <v>45776</v>
      </c>
      <c r="B42">
        <v>922.4</v>
      </c>
      <c r="C42">
        <f t="shared" si="0"/>
        <v>-1.9766206163655708E-2</v>
      </c>
      <c r="D42">
        <f t="shared" si="6"/>
        <v>19.317277486910992</v>
      </c>
      <c r="F42" s="1">
        <v>45776</v>
      </c>
      <c r="G42">
        <v>393.35</v>
      </c>
      <c r="H42">
        <f t="shared" si="1"/>
        <v>-4.4292584155909897E-3</v>
      </c>
      <c r="I42">
        <f t="shared" si="7"/>
        <v>29.790562190503952</v>
      </c>
      <c r="K42" s="1">
        <v>45776</v>
      </c>
      <c r="L42">
        <v>464.6</v>
      </c>
      <c r="M42">
        <f t="shared" si="2"/>
        <v>-2.4359512809743734E-2</v>
      </c>
      <c r="N42">
        <f t="shared" si="8"/>
        <v>14.176983435047953</v>
      </c>
      <c r="P42" s="1">
        <v>45776</v>
      </c>
      <c r="Q42">
        <v>57.7</v>
      </c>
      <c r="R42">
        <f t="shared" si="3"/>
        <v>-1.384562132225654E-3</v>
      </c>
      <c r="S42">
        <f t="shared" si="9"/>
        <v>23.243813543065396</v>
      </c>
      <c r="U42" s="1">
        <v>45776</v>
      </c>
      <c r="V42">
        <v>103.86</v>
      </c>
      <c r="W42">
        <f t="shared" si="4"/>
        <v>6.3953488372092693E-3</v>
      </c>
      <c r="X42">
        <f t="shared" si="10"/>
        <v>24.561109319574317</v>
      </c>
      <c r="Z42">
        <f t="shared" si="11"/>
        <v>111.08974597510262</v>
      </c>
      <c r="AA42" s="10">
        <f t="shared" si="5"/>
        <v>-6.7253959613197134E-3</v>
      </c>
    </row>
    <row r="43" spans="1:27" x14ac:dyDescent="0.3">
      <c r="A43" s="1">
        <v>45777</v>
      </c>
      <c r="B43">
        <v>900.7</v>
      </c>
      <c r="C43">
        <f t="shared" si="0"/>
        <v>-2.3525585429314759E-2</v>
      </c>
      <c r="D43">
        <f t="shared" si="6"/>
        <v>18.862827225130889</v>
      </c>
      <c r="F43" s="1">
        <v>45777</v>
      </c>
      <c r="G43">
        <v>384.4</v>
      </c>
      <c r="H43">
        <f t="shared" si="1"/>
        <v>-2.275327316639137E-2</v>
      </c>
      <c r="I43">
        <f t="shared" si="7"/>
        <v>29.112729391203043</v>
      </c>
      <c r="K43" s="1">
        <v>45777</v>
      </c>
      <c r="L43">
        <v>479.2</v>
      </c>
      <c r="M43">
        <f t="shared" si="2"/>
        <v>3.1424881618596565E-2</v>
      </c>
      <c r="N43">
        <f t="shared" si="8"/>
        <v>14.622493461203138</v>
      </c>
      <c r="P43" s="1">
        <v>45777</v>
      </c>
      <c r="Q43">
        <v>56.4</v>
      </c>
      <c r="R43">
        <f t="shared" si="3"/>
        <v>-2.253032928942815E-2</v>
      </c>
      <c r="S43">
        <f t="shared" si="9"/>
        <v>22.720122769998063</v>
      </c>
      <c r="U43" s="1">
        <v>45777</v>
      </c>
      <c r="V43">
        <v>100.55</v>
      </c>
      <c r="W43">
        <f t="shared" si="4"/>
        <v>-3.1869824764105548E-2</v>
      </c>
      <c r="X43">
        <f t="shared" si="10"/>
        <v>23.778351069547444</v>
      </c>
      <c r="Z43">
        <f t="shared" si="11"/>
        <v>109.09652391708258</v>
      </c>
      <c r="AA43" s="10">
        <f t="shared" si="5"/>
        <v>-1.7942448607873862E-2</v>
      </c>
    </row>
    <row r="44" spans="1:27" x14ac:dyDescent="0.3">
      <c r="A44" s="1">
        <v>45779</v>
      </c>
      <c r="B44">
        <v>905.25</v>
      </c>
      <c r="C44">
        <f t="shared" si="0"/>
        <v>5.0516265127122841E-3</v>
      </c>
      <c r="D44">
        <f t="shared" si="6"/>
        <v>18.958115183246072</v>
      </c>
      <c r="F44" s="1">
        <v>45779</v>
      </c>
      <c r="G44">
        <v>381.75</v>
      </c>
      <c r="H44">
        <f t="shared" si="1"/>
        <v>-6.8938605619146137E-3</v>
      </c>
      <c r="I44">
        <f t="shared" si="7"/>
        <v>28.912030294203333</v>
      </c>
      <c r="K44" s="1">
        <v>45779</v>
      </c>
      <c r="L44">
        <v>469.6</v>
      </c>
      <c r="M44">
        <f t="shared" si="2"/>
        <v>-2.003338898163599E-2</v>
      </c>
      <c r="N44">
        <f t="shared" si="8"/>
        <v>14.329555361813426</v>
      </c>
      <c r="P44" s="1">
        <v>45779</v>
      </c>
      <c r="Q44">
        <v>56.25</v>
      </c>
      <c r="R44">
        <f t="shared" si="3"/>
        <v>-2.6595744680850812E-3</v>
      </c>
      <c r="S44">
        <f t="shared" si="9"/>
        <v>22.659696911567217</v>
      </c>
      <c r="U44" s="1">
        <v>45779</v>
      </c>
      <c r="V44">
        <v>101.2</v>
      </c>
      <c r="W44">
        <f t="shared" si="4"/>
        <v>6.4644455494779285E-3</v>
      </c>
      <c r="X44">
        <f t="shared" si="10"/>
        <v>23.932064925292906</v>
      </c>
      <c r="Z44">
        <f t="shared" si="11"/>
        <v>108.79146267612296</v>
      </c>
      <c r="AA44" s="10">
        <f t="shared" si="5"/>
        <v>-2.7962507878938059E-3</v>
      </c>
    </row>
    <row r="45" spans="1:27" x14ac:dyDescent="0.3">
      <c r="A45" s="1">
        <v>45782</v>
      </c>
      <c r="B45">
        <v>965.7</v>
      </c>
      <c r="C45">
        <f t="shared" si="0"/>
        <v>6.6777133388566751E-2</v>
      </c>
      <c r="D45">
        <f t="shared" si="6"/>
        <v>20.224083769633506</v>
      </c>
      <c r="F45" s="1">
        <v>45782</v>
      </c>
      <c r="G45">
        <v>389.1</v>
      </c>
      <c r="H45">
        <f t="shared" si="1"/>
        <v>1.925343811394898E-2</v>
      </c>
      <c r="I45">
        <f t="shared" si="7"/>
        <v>29.468686280221398</v>
      </c>
      <c r="K45" s="1">
        <v>45782</v>
      </c>
      <c r="L45">
        <v>481.2</v>
      </c>
      <c r="M45">
        <f t="shared" si="2"/>
        <v>2.470187393526398E-2</v>
      </c>
      <c r="N45">
        <f t="shared" si="8"/>
        <v>14.683522231909329</v>
      </c>
      <c r="P45" s="1">
        <v>45782</v>
      </c>
      <c r="Q45">
        <v>56.92</v>
      </c>
      <c r="R45">
        <f t="shared" si="3"/>
        <v>1.1911111111111141E-2</v>
      </c>
      <c r="S45">
        <f t="shared" si="9"/>
        <v>22.929599079224996</v>
      </c>
      <c r="U45" s="1">
        <v>45782</v>
      </c>
      <c r="V45">
        <v>101.18</v>
      </c>
      <c r="W45">
        <f t="shared" si="4"/>
        <v>-1.9762845849798438E-4</v>
      </c>
      <c r="X45">
        <f t="shared" si="10"/>
        <v>23.927335268193044</v>
      </c>
      <c r="Z45">
        <f t="shared" si="11"/>
        <v>111.23322662918228</v>
      </c>
      <c r="AA45" s="10">
        <f t="shared" si="5"/>
        <v>2.2444444563895161E-2</v>
      </c>
    </row>
    <row r="46" spans="1:27" x14ac:dyDescent="0.3">
      <c r="A46" s="1">
        <v>45783</v>
      </c>
      <c r="B46">
        <v>923.25</v>
      </c>
      <c r="C46">
        <f t="shared" si="0"/>
        <v>-4.3957750854302625E-2</v>
      </c>
      <c r="D46">
        <f t="shared" si="6"/>
        <v>19.33507853403141</v>
      </c>
      <c r="F46" s="1">
        <v>45783</v>
      </c>
      <c r="G46">
        <v>374.9</v>
      </c>
      <c r="H46">
        <f t="shared" si="1"/>
        <v>-3.6494474428167681E-2</v>
      </c>
      <c r="I46">
        <f t="shared" si="7"/>
        <v>28.393242062336164</v>
      </c>
      <c r="K46" s="1">
        <v>45783</v>
      </c>
      <c r="L46">
        <v>466.2</v>
      </c>
      <c r="M46">
        <f t="shared" si="2"/>
        <v>-3.117206982543641E-2</v>
      </c>
      <c r="N46">
        <f t="shared" si="8"/>
        <v>14.225806451612904</v>
      </c>
      <c r="P46" s="1">
        <v>45783</v>
      </c>
      <c r="Q46">
        <v>53.74</v>
      </c>
      <c r="R46">
        <f t="shared" si="3"/>
        <v>-5.586788475052705E-2</v>
      </c>
      <c r="S46">
        <f t="shared" si="9"/>
        <v>21.648570880491061</v>
      </c>
      <c r="U46" s="1">
        <v>45783</v>
      </c>
      <c r="V46">
        <v>97.81</v>
      </c>
      <c r="W46">
        <f t="shared" si="4"/>
        <v>-3.3306977663569916E-2</v>
      </c>
      <c r="X46">
        <f t="shared" si="10"/>
        <v>23.130388046866589</v>
      </c>
      <c r="Z46">
        <f t="shared" si="11"/>
        <v>106.73308597533813</v>
      </c>
      <c r="AA46" s="10">
        <f t="shared" si="5"/>
        <v>-4.0456802254296376E-2</v>
      </c>
    </row>
    <row r="47" spans="1:27" x14ac:dyDescent="0.3">
      <c r="A47" s="1">
        <v>45784</v>
      </c>
      <c r="B47">
        <v>917.25</v>
      </c>
      <c r="C47">
        <f t="shared" si="0"/>
        <v>-6.498781478472786E-3</v>
      </c>
      <c r="D47">
        <f t="shared" si="6"/>
        <v>19.20942408376963</v>
      </c>
      <c r="F47" s="1">
        <v>45784</v>
      </c>
      <c r="G47">
        <v>377.35</v>
      </c>
      <c r="H47">
        <f t="shared" si="1"/>
        <v>6.5350760202721944E-3</v>
      </c>
      <c r="I47">
        <f t="shared" si="7"/>
        <v>28.578794057675523</v>
      </c>
      <c r="K47" s="1">
        <v>45784</v>
      </c>
      <c r="L47">
        <v>468.5</v>
      </c>
      <c r="M47">
        <f t="shared" si="2"/>
        <v>4.9335049335049582E-3</v>
      </c>
      <c r="N47">
        <f t="shared" si="8"/>
        <v>14.295989537925021</v>
      </c>
      <c r="P47" s="1">
        <v>45784</v>
      </c>
      <c r="Q47">
        <v>54.7</v>
      </c>
      <c r="R47">
        <f t="shared" si="3"/>
        <v>1.7863788611834776E-2</v>
      </c>
      <c r="S47">
        <f t="shared" si="9"/>
        <v>22.035296374448475</v>
      </c>
      <c r="U47" s="1">
        <v>45784</v>
      </c>
      <c r="V47">
        <v>99.28</v>
      </c>
      <c r="W47">
        <f t="shared" si="4"/>
        <v>1.5029138124936088E-2</v>
      </c>
      <c r="X47">
        <f t="shared" si="10"/>
        <v>23.478017843706319</v>
      </c>
      <c r="Z47">
        <f t="shared" si="11"/>
        <v>107.59752189752497</v>
      </c>
      <c r="AA47" s="10">
        <f t="shared" si="5"/>
        <v>8.0990436497505591E-3</v>
      </c>
    </row>
    <row r="48" spans="1:27" x14ac:dyDescent="0.3">
      <c r="A48" s="1">
        <v>45785</v>
      </c>
      <c r="B48">
        <v>880.5</v>
      </c>
      <c r="C48">
        <f t="shared" si="0"/>
        <v>-4.006541291905151E-2</v>
      </c>
      <c r="D48">
        <f t="shared" si="6"/>
        <v>18.439790575916227</v>
      </c>
      <c r="F48" s="1">
        <v>45785</v>
      </c>
      <c r="G48">
        <v>370.15</v>
      </c>
      <c r="H48">
        <f t="shared" si="1"/>
        <v>-1.9080429309659586E-2</v>
      </c>
      <c r="I48">
        <f t="shared" si="7"/>
        <v>28.033498397902726</v>
      </c>
      <c r="K48" s="1">
        <v>45785</v>
      </c>
      <c r="L48">
        <v>463.35</v>
      </c>
      <c r="M48">
        <f t="shared" si="2"/>
        <v>-1.0992529348986077E-2</v>
      </c>
      <c r="N48">
        <f t="shared" si="8"/>
        <v>14.138840453356583</v>
      </c>
      <c r="P48" s="1">
        <v>45785</v>
      </c>
      <c r="Q48">
        <v>53.15</v>
      </c>
      <c r="R48">
        <f t="shared" si="3"/>
        <v>-2.8336380255941575E-2</v>
      </c>
      <c r="S48">
        <f t="shared" si="9"/>
        <v>21.410895837329733</v>
      </c>
      <c r="U48" s="1">
        <v>45785</v>
      </c>
      <c r="V48">
        <v>97.92</v>
      </c>
      <c r="W48">
        <f t="shared" si="4"/>
        <v>-1.3698630136986295E-2</v>
      </c>
      <c r="X48">
        <f t="shared" si="10"/>
        <v>23.156401160915824</v>
      </c>
      <c r="Z48">
        <f t="shared" si="11"/>
        <v>105.17942642542107</v>
      </c>
      <c r="AA48" s="10">
        <f t="shared" si="5"/>
        <v>-2.2473523827127528E-2</v>
      </c>
    </row>
    <row r="49" spans="1:27" x14ac:dyDescent="0.3">
      <c r="A49" s="1">
        <v>45786</v>
      </c>
      <c r="B49">
        <v>879.45</v>
      </c>
      <c r="C49">
        <f t="shared" si="0"/>
        <v>-1.1925042589437302E-3</v>
      </c>
      <c r="D49">
        <f t="shared" si="6"/>
        <v>18.417801047120417</v>
      </c>
      <c r="F49" s="1">
        <v>45786</v>
      </c>
      <c r="G49">
        <v>371</v>
      </c>
      <c r="H49">
        <f t="shared" si="1"/>
        <v>2.2963663379711543E-3</v>
      </c>
      <c r="I49">
        <f t="shared" si="7"/>
        <v>28.097873579959238</v>
      </c>
      <c r="K49" s="1">
        <v>45786</v>
      </c>
      <c r="L49">
        <v>459.85</v>
      </c>
      <c r="M49">
        <f t="shared" si="2"/>
        <v>-7.5536851192403148E-3</v>
      </c>
      <c r="N49">
        <f t="shared" si="8"/>
        <v>14.032040104620751</v>
      </c>
      <c r="P49" s="1">
        <v>45786</v>
      </c>
      <c r="Q49">
        <v>52.67</v>
      </c>
      <c r="R49">
        <f t="shared" si="3"/>
        <v>-9.0310442144872407E-3</v>
      </c>
      <c r="S49">
        <f t="shared" si="9"/>
        <v>21.217533090351029</v>
      </c>
      <c r="U49" s="1">
        <v>45786</v>
      </c>
      <c r="V49">
        <v>97.32</v>
      </c>
      <c r="W49">
        <f t="shared" si="4"/>
        <v>-6.1274509803922435E-3</v>
      </c>
      <c r="X49">
        <f t="shared" si="10"/>
        <v>23.014511447920015</v>
      </c>
      <c r="Z49">
        <f t="shared" si="11"/>
        <v>104.77975926997145</v>
      </c>
      <c r="AA49" s="10">
        <f t="shared" si="5"/>
        <v>-3.7998605719057332E-3</v>
      </c>
    </row>
    <row r="50" spans="1:27" x14ac:dyDescent="0.3">
      <c r="A50" s="1">
        <v>45789</v>
      </c>
      <c r="B50">
        <v>940.55</v>
      </c>
      <c r="C50">
        <f t="shared" si="0"/>
        <v>6.9475240206947411E-2</v>
      </c>
      <c r="D50">
        <f t="shared" si="6"/>
        <v>19.697382198952877</v>
      </c>
      <c r="F50" s="1">
        <v>45789</v>
      </c>
      <c r="G50">
        <v>391.4</v>
      </c>
      <c r="H50">
        <f t="shared" si="1"/>
        <v>5.4986522911051154E-2</v>
      </c>
      <c r="I50">
        <f t="shared" si="7"/>
        <v>29.642877949315483</v>
      </c>
      <c r="K50" s="1">
        <v>45789</v>
      </c>
      <c r="L50">
        <v>481.1</v>
      </c>
      <c r="M50">
        <f t="shared" si="2"/>
        <v>4.6210720887245836E-2</v>
      </c>
      <c r="N50">
        <f t="shared" si="8"/>
        <v>14.68047079337402</v>
      </c>
      <c r="P50" s="1">
        <v>45789</v>
      </c>
      <c r="Q50">
        <v>56.95</v>
      </c>
      <c r="R50">
        <f t="shared" si="3"/>
        <v>8.126067970381623E-2</v>
      </c>
      <c r="S50">
        <f t="shared" si="9"/>
        <v>22.941684250911166</v>
      </c>
      <c r="U50" s="1">
        <v>45789</v>
      </c>
      <c r="V50">
        <v>101.76</v>
      </c>
      <c r="W50">
        <f t="shared" si="4"/>
        <v>4.5622688039457585E-2</v>
      </c>
      <c r="X50">
        <f t="shared" si="10"/>
        <v>24.064495324088998</v>
      </c>
      <c r="Z50">
        <f t="shared" si="11"/>
        <v>111.02691051664254</v>
      </c>
      <c r="AA50" s="10">
        <f t="shared" si="5"/>
        <v>5.9621736967107708E-2</v>
      </c>
    </row>
    <row r="51" spans="1:27" x14ac:dyDescent="0.3">
      <c r="A51" s="1">
        <v>45790</v>
      </c>
      <c r="B51">
        <v>958.05</v>
      </c>
      <c r="C51">
        <f t="shared" si="0"/>
        <v>1.8606134708415288E-2</v>
      </c>
      <c r="D51">
        <f t="shared" si="6"/>
        <v>20.063874345549735</v>
      </c>
      <c r="F51" s="1">
        <v>45790</v>
      </c>
      <c r="G51">
        <v>389.3</v>
      </c>
      <c r="H51">
        <f t="shared" si="1"/>
        <v>-5.3653551354112573E-3</v>
      </c>
      <c r="I51">
        <f t="shared" si="7"/>
        <v>29.483833381881755</v>
      </c>
      <c r="K51" s="1">
        <v>45790</v>
      </c>
      <c r="L51">
        <v>474.25</v>
      </c>
      <c r="M51">
        <f t="shared" si="2"/>
        <v>-1.4238204115568535E-2</v>
      </c>
      <c r="N51">
        <f t="shared" si="8"/>
        <v>14.471447253705319</v>
      </c>
      <c r="P51" s="1">
        <v>45790</v>
      </c>
      <c r="Q51">
        <v>57.6</v>
      </c>
      <c r="R51">
        <f t="shared" si="3"/>
        <v>1.1413520632133425E-2</v>
      </c>
      <c r="S51">
        <f t="shared" si="9"/>
        <v>23.203529637444834</v>
      </c>
      <c r="U51" s="1">
        <v>45790</v>
      </c>
      <c r="V51">
        <v>102.06</v>
      </c>
      <c r="W51">
        <f t="shared" si="4"/>
        <v>2.9481132075471418E-3</v>
      </c>
      <c r="X51">
        <f t="shared" si="10"/>
        <v>24.135440180586901</v>
      </c>
      <c r="Z51">
        <f t="shared" si="11"/>
        <v>111.35812479916855</v>
      </c>
      <c r="AA51" s="10">
        <f t="shared" si="5"/>
        <v>2.9831892194853715E-3</v>
      </c>
    </row>
    <row r="52" spans="1:27" x14ac:dyDescent="0.3">
      <c r="A52" s="1">
        <v>45791</v>
      </c>
      <c r="B52">
        <v>967.25</v>
      </c>
      <c r="C52">
        <f t="shared" si="0"/>
        <v>9.6028391002557761E-3</v>
      </c>
      <c r="D52">
        <f t="shared" si="6"/>
        <v>20.2565445026178</v>
      </c>
      <c r="F52" s="1">
        <v>45791</v>
      </c>
      <c r="G52">
        <v>396.95</v>
      </c>
      <c r="H52">
        <f t="shared" si="1"/>
        <v>1.9650655021834003E-2</v>
      </c>
      <c r="I52">
        <f t="shared" si="7"/>
        <v>30.063210020390347</v>
      </c>
      <c r="K52" s="1">
        <v>45791</v>
      </c>
      <c r="L52">
        <v>474.95</v>
      </c>
      <c r="M52">
        <f t="shared" si="2"/>
        <v>1.4760147601475776E-3</v>
      </c>
      <c r="N52">
        <f t="shared" si="8"/>
        <v>14.492807323452485</v>
      </c>
      <c r="P52" s="1">
        <v>45791</v>
      </c>
      <c r="Q52">
        <v>59.92</v>
      </c>
      <c r="R52">
        <f t="shared" si="3"/>
        <v>4.027777777777778E-2</v>
      </c>
      <c r="S52">
        <f t="shared" si="9"/>
        <v>24.138116247841921</v>
      </c>
      <c r="U52" s="1">
        <v>45791</v>
      </c>
      <c r="V52">
        <v>102.1</v>
      </c>
      <c r="W52">
        <f t="shared" si="4"/>
        <v>3.9192631785216577E-4</v>
      </c>
      <c r="X52">
        <f t="shared" si="10"/>
        <v>24.144899494786621</v>
      </c>
      <c r="Z52">
        <f t="shared" si="11"/>
        <v>113.09557758908917</v>
      </c>
      <c r="AA52" s="10">
        <f t="shared" si="5"/>
        <v>1.5602389076271539E-2</v>
      </c>
    </row>
    <row r="53" spans="1:27" x14ac:dyDescent="0.3">
      <c r="A53" s="1">
        <v>45792</v>
      </c>
      <c r="B53">
        <v>967.9</v>
      </c>
      <c r="C53">
        <f t="shared" si="0"/>
        <v>6.7200827087100258E-4</v>
      </c>
      <c r="D53">
        <f t="shared" si="6"/>
        <v>20.270157068062826</v>
      </c>
      <c r="F53" s="1">
        <v>45792</v>
      </c>
      <c r="G53">
        <v>397.95</v>
      </c>
      <c r="H53">
        <f t="shared" si="1"/>
        <v>2.5192089683839275E-3</v>
      </c>
      <c r="I53">
        <f t="shared" si="7"/>
        <v>30.138945528692123</v>
      </c>
      <c r="K53" s="1">
        <v>45792</v>
      </c>
      <c r="L53">
        <v>487.4</v>
      </c>
      <c r="M53">
        <f t="shared" si="2"/>
        <v>2.6213285609011452E-2</v>
      </c>
      <c r="N53">
        <f t="shared" si="8"/>
        <v>14.872711421098517</v>
      </c>
      <c r="P53" s="1">
        <v>45792</v>
      </c>
      <c r="Q53">
        <v>61.22</v>
      </c>
      <c r="R53">
        <f t="shared" si="3"/>
        <v>2.1695594125500619E-2</v>
      </c>
      <c r="S53">
        <f t="shared" si="9"/>
        <v>24.661807020909251</v>
      </c>
      <c r="U53" s="1">
        <v>45792</v>
      </c>
      <c r="V53">
        <v>102.16</v>
      </c>
      <c r="W53">
        <f t="shared" si="4"/>
        <v>5.8765915768856298E-4</v>
      </c>
      <c r="X53">
        <f t="shared" si="10"/>
        <v>24.159088466086203</v>
      </c>
      <c r="Z53">
        <f t="shared" si="11"/>
        <v>114.10270950484892</v>
      </c>
      <c r="AA53" s="10">
        <f t="shared" si="5"/>
        <v>8.9051396812256378E-3</v>
      </c>
    </row>
    <row r="54" spans="1:27" x14ac:dyDescent="0.3">
      <c r="A54" s="1">
        <v>45793</v>
      </c>
      <c r="B54" s="2">
        <v>1020.1</v>
      </c>
      <c r="C54">
        <f t="shared" si="0"/>
        <v>5.3931191238764387E-2</v>
      </c>
      <c r="D54">
        <f t="shared" si="6"/>
        <v>21.363350785340312</v>
      </c>
      <c r="F54" s="1">
        <v>45793</v>
      </c>
      <c r="G54">
        <v>405.8</v>
      </c>
      <c r="H54">
        <f t="shared" si="1"/>
        <v>1.9726096243246696E-2</v>
      </c>
      <c r="I54">
        <f t="shared" si="7"/>
        <v>30.733469268861072</v>
      </c>
      <c r="K54" s="1">
        <v>45793</v>
      </c>
      <c r="L54">
        <v>503.85</v>
      </c>
      <c r="M54">
        <f t="shared" si="2"/>
        <v>3.3750512925728449E-2</v>
      </c>
      <c r="N54">
        <f t="shared" si="8"/>
        <v>15.374673060156931</v>
      </c>
      <c r="P54" s="1">
        <v>45793</v>
      </c>
      <c r="Q54">
        <v>61.08</v>
      </c>
      <c r="R54">
        <f t="shared" si="3"/>
        <v>-2.2868343678536518E-3</v>
      </c>
      <c r="S54">
        <f t="shared" si="9"/>
        <v>24.60540955304046</v>
      </c>
      <c r="U54" s="1">
        <v>45793</v>
      </c>
      <c r="V54">
        <v>104.71</v>
      </c>
      <c r="W54">
        <f t="shared" si="4"/>
        <v>2.496084573218478E-2</v>
      </c>
      <c r="X54">
        <f t="shared" si="10"/>
        <v>24.762119746318387</v>
      </c>
      <c r="Z54">
        <f t="shared" si="11"/>
        <v>116.83902241371717</v>
      </c>
      <c r="AA54" s="10">
        <f t="shared" si="5"/>
        <v>2.3981138754220144E-2</v>
      </c>
    </row>
    <row r="55" spans="1:27" x14ac:dyDescent="0.3">
      <c r="A55" s="1">
        <v>45796</v>
      </c>
      <c r="B55" s="2">
        <v>1014</v>
      </c>
      <c r="C55">
        <f t="shared" si="0"/>
        <v>-5.9798059013822392E-3</v>
      </c>
      <c r="D55">
        <f t="shared" si="6"/>
        <v>21.235602094240836</v>
      </c>
      <c r="F55" s="1">
        <v>45796</v>
      </c>
      <c r="G55">
        <v>408.1</v>
      </c>
      <c r="H55">
        <f t="shared" si="1"/>
        <v>5.6678166584524679E-3</v>
      </c>
      <c r="I55">
        <f t="shared" si="7"/>
        <v>30.907660937955161</v>
      </c>
      <c r="K55" s="1">
        <v>45796</v>
      </c>
      <c r="L55">
        <v>515.35</v>
      </c>
      <c r="M55">
        <f t="shared" si="2"/>
        <v>2.2824253249975189E-2</v>
      </c>
      <c r="N55">
        <f t="shared" si="8"/>
        <v>15.725588491717524</v>
      </c>
      <c r="P55" s="1">
        <v>45796</v>
      </c>
      <c r="Q55">
        <v>61.53</v>
      </c>
      <c r="R55">
        <f t="shared" si="3"/>
        <v>7.3673870333988683E-3</v>
      </c>
      <c r="S55">
        <f t="shared" si="9"/>
        <v>24.786687128332996</v>
      </c>
      <c r="U55" s="1">
        <v>45796</v>
      </c>
      <c r="V55">
        <v>104.92</v>
      </c>
      <c r="W55">
        <f t="shared" si="4"/>
        <v>2.0055391080126823E-3</v>
      </c>
      <c r="X55">
        <f t="shared" si="10"/>
        <v>24.811781145866924</v>
      </c>
      <c r="Z55">
        <f t="shared" si="11"/>
        <v>117.46731979811344</v>
      </c>
      <c r="AA55" s="10">
        <f t="shared" si="5"/>
        <v>5.3774618395172613E-3</v>
      </c>
    </row>
    <row r="56" spans="1:27" x14ac:dyDescent="0.3">
      <c r="A56" s="1">
        <v>45797</v>
      </c>
      <c r="B56">
        <v>983.95</v>
      </c>
      <c r="C56">
        <f t="shared" si="0"/>
        <v>-2.9635108481262284E-2</v>
      </c>
      <c r="D56">
        <f t="shared" si="6"/>
        <v>20.60628272251309</v>
      </c>
      <c r="F56" s="1">
        <v>45797</v>
      </c>
      <c r="G56">
        <v>398.95</v>
      </c>
      <c r="H56">
        <f t="shared" si="1"/>
        <v>-2.2420975251164012E-2</v>
      </c>
      <c r="I56">
        <f t="shared" si="7"/>
        <v>30.214681036993898</v>
      </c>
      <c r="K56" s="1">
        <v>45797</v>
      </c>
      <c r="L56">
        <v>504.7</v>
      </c>
      <c r="M56">
        <f t="shared" si="2"/>
        <v>-2.0665567090327026E-2</v>
      </c>
      <c r="N56">
        <f t="shared" si="8"/>
        <v>15.40061028770706</v>
      </c>
      <c r="P56" s="1">
        <v>45797</v>
      </c>
      <c r="Q56">
        <v>60.35</v>
      </c>
      <c r="R56">
        <f t="shared" si="3"/>
        <v>-1.9177636925077193E-2</v>
      </c>
      <c r="S56">
        <f t="shared" si="9"/>
        <v>24.31133704201034</v>
      </c>
      <c r="U56" s="1">
        <v>45797</v>
      </c>
      <c r="V56">
        <v>103.14</v>
      </c>
      <c r="W56">
        <f t="shared" si="4"/>
        <v>-1.6965306900495625E-2</v>
      </c>
      <c r="X56">
        <f t="shared" si="10"/>
        <v>24.390841663979362</v>
      </c>
      <c r="Z56">
        <f t="shared" si="11"/>
        <v>114.92375275320374</v>
      </c>
      <c r="AA56" s="10">
        <f t="shared" si="5"/>
        <v>-2.1653401552714557E-2</v>
      </c>
    </row>
    <row r="57" spans="1:27" x14ac:dyDescent="0.3">
      <c r="A57" s="1">
        <v>45798</v>
      </c>
      <c r="B57">
        <v>996.5</v>
      </c>
      <c r="C57">
        <f t="shared" si="0"/>
        <v>1.2754713145993144E-2</v>
      </c>
      <c r="D57">
        <f t="shared" si="6"/>
        <v>20.869109947643977</v>
      </c>
      <c r="F57" s="1">
        <v>45798</v>
      </c>
      <c r="G57">
        <v>401.85</v>
      </c>
      <c r="H57">
        <f t="shared" si="1"/>
        <v>7.2690813385136843E-3</v>
      </c>
      <c r="I57">
        <f t="shared" si="7"/>
        <v>30.434314011069052</v>
      </c>
      <c r="K57" s="1">
        <v>45798</v>
      </c>
      <c r="L57">
        <v>504.8</v>
      </c>
      <c r="M57">
        <f t="shared" si="2"/>
        <v>1.9813750743020159E-4</v>
      </c>
      <c r="N57">
        <f t="shared" si="8"/>
        <v>15.403661726242371</v>
      </c>
      <c r="P57" s="1">
        <v>45798</v>
      </c>
      <c r="Q57">
        <v>61.28</v>
      </c>
      <c r="R57">
        <f t="shared" si="3"/>
        <v>1.5410107705053848E-2</v>
      </c>
      <c r="S57">
        <f t="shared" si="9"/>
        <v>24.685977364281587</v>
      </c>
      <c r="U57" s="1">
        <v>45798</v>
      </c>
      <c r="V57">
        <v>106.16</v>
      </c>
      <c r="W57">
        <f t="shared" si="4"/>
        <v>2.9280589490013536E-2</v>
      </c>
      <c r="X57">
        <f t="shared" si="10"/>
        <v>25.105019886058258</v>
      </c>
      <c r="Z57">
        <f t="shared" si="11"/>
        <v>116.49808293529524</v>
      </c>
      <c r="AA57" s="10">
        <f t="shared" si="5"/>
        <v>1.3698910315540713E-2</v>
      </c>
    </row>
    <row r="58" spans="1:27" x14ac:dyDescent="0.3">
      <c r="A58" s="1">
        <v>45799</v>
      </c>
      <c r="B58">
        <v>985.85</v>
      </c>
      <c r="C58">
        <f t="shared" si="0"/>
        <v>-1.0687405920722506E-2</v>
      </c>
      <c r="D58">
        <f t="shared" si="6"/>
        <v>20.646073298429318</v>
      </c>
      <c r="F58" s="1">
        <v>45799</v>
      </c>
      <c r="G58">
        <v>395.6</v>
      </c>
      <c r="H58">
        <f t="shared" si="1"/>
        <v>-1.5553067064825182E-2</v>
      </c>
      <c r="I58">
        <f t="shared" si="7"/>
        <v>29.960967084182947</v>
      </c>
      <c r="K58" s="1">
        <v>45799</v>
      </c>
      <c r="L58">
        <v>499.95</v>
      </c>
      <c r="M58">
        <f t="shared" si="2"/>
        <v>-9.6077654516640697E-3</v>
      </c>
      <c r="N58">
        <f t="shared" si="8"/>
        <v>15.255666957279859</v>
      </c>
      <c r="P58" s="1">
        <v>45799</v>
      </c>
      <c r="Q58">
        <v>61.01</v>
      </c>
      <c r="R58">
        <f t="shared" si="3"/>
        <v>-4.4060052219321655E-3</v>
      </c>
      <c r="S58">
        <f t="shared" si="9"/>
        <v>24.577210819106064</v>
      </c>
      <c r="U58" s="1">
        <v>45799</v>
      </c>
      <c r="V58">
        <v>112.18</v>
      </c>
      <c r="W58">
        <f t="shared" si="4"/>
        <v>5.6706857573474101E-2</v>
      </c>
      <c r="X58">
        <f t="shared" si="10"/>
        <v>26.528646673116199</v>
      </c>
      <c r="Z58">
        <f t="shared" si="11"/>
        <v>116.9685648321144</v>
      </c>
      <c r="AA58" s="10">
        <f t="shared" si="5"/>
        <v>4.0385376734521916E-3</v>
      </c>
    </row>
    <row r="59" spans="1:27" x14ac:dyDescent="0.3">
      <c r="A59" s="1">
        <v>45800</v>
      </c>
      <c r="B59">
        <v>986.95</v>
      </c>
      <c r="C59">
        <f t="shared" si="0"/>
        <v>1.1157884059441322E-3</v>
      </c>
      <c r="D59">
        <f t="shared" si="6"/>
        <v>20.669109947643978</v>
      </c>
      <c r="F59" s="1">
        <v>45800</v>
      </c>
      <c r="G59">
        <v>402.05</v>
      </c>
      <c r="H59">
        <f t="shared" si="1"/>
        <v>1.6304347826086928E-2</v>
      </c>
      <c r="I59">
        <f t="shared" si="7"/>
        <v>30.449461112729406</v>
      </c>
      <c r="K59" s="1">
        <v>45800</v>
      </c>
      <c r="L59">
        <v>496.6</v>
      </c>
      <c r="M59">
        <f t="shared" si="2"/>
        <v>-6.7006700670066326E-3</v>
      </c>
      <c r="N59">
        <f t="shared" si="8"/>
        <v>15.153443766346992</v>
      </c>
      <c r="P59" s="1">
        <v>45800</v>
      </c>
      <c r="Q59">
        <v>62.21</v>
      </c>
      <c r="R59">
        <f t="shared" si="3"/>
        <v>1.9668906736600603E-2</v>
      </c>
      <c r="S59">
        <f t="shared" si="9"/>
        <v>25.060617686552835</v>
      </c>
      <c r="U59" s="1">
        <v>45800</v>
      </c>
      <c r="V59">
        <v>111.24</v>
      </c>
      <c r="W59">
        <f t="shared" si="4"/>
        <v>-8.3793902656446057E-3</v>
      </c>
      <c r="X59">
        <f t="shared" si="10"/>
        <v>26.306352789422764</v>
      </c>
      <c r="Z59">
        <f t="shared" si="11"/>
        <v>117.63898530269597</v>
      </c>
      <c r="AA59" s="10">
        <f t="shared" si="5"/>
        <v>5.7316294471410068E-3</v>
      </c>
    </row>
    <row r="60" spans="1:27" x14ac:dyDescent="0.3">
      <c r="A60" s="1">
        <v>45803</v>
      </c>
      <c r="B60" s="2">
        <v>1011.85</v>
      </c>
      <c r="C60">
        <f t="shared" si="0"/>
        <v>2.5229241602918055E-2</v>
      </c>
      <c r="D60">
        <f t="shared" si="6"/>
        <v>21.190575916230365</v>
      </c>
      <c r="F60" s="1">
        <v>45803</v>
      </c>
      <c r="G60">
        <v>402.6</v>
      </c>
      <c r="H60">
        <f t="shared" si="1"/>
        <v>1.3679890560875795E-3</v>
      </c>
      <c r="I60">
        <f t="shared" si="7"/>
        <v>30.491115642295384</v>
      </c>
      <c r="K60" s="1">
        <v>45803</v>
      </c>
      <c r="L60">
        <v>504.9</v>
      </c>
      <c r="M60">
        <f t="shared" si="2"/>
        <v>1.6713652839307196E-2</v>
      </c>
      <c r="N60">
        <f t="shared" si="8"/>
        <v>15.406713164777681</v>
      </c>
      <c r="P60" s="1">
        <v>45803</v>
      </c>
      <c r="Q60">
        <v>64.37</v>
      </c>
      <c r="R60">
        <f t="shared" si="3"/>
        <v>3.472110593152232E-2</v>
      </c>
      <c r="S60">
        <f t="shared" si="9"/>
        <v>25.930750047957016</v>
      </c>
      <c r="U60" s="1">
        <v>45803</v>
      </c>
      <c r="V60">
        <v>112.58</v>
      </c>
      <c r="W60">
        <f t="shared" si="4"/>
        <v>1.2046026609133436E-2</v>
      </c>
      <c r="X60">
        <f t="shared" si="10"/>
        <v>26.623239815113401</v>
      </c>
      <c r="Z60">
        <f t="shared" si="11"/>
        <v>119.64239458637385</v>
      </c>
      <c r="AA60" s="10">
        <f t="shared" si="5"/>
        <v>1.7030147603899648E-2</v>
      </c>
    </row>
    <row r="61" spans="1:27" x14ac:dyDescent="0.3">
      <c r="A61" s="1">
        <v>45804</v>
      </c>
      <c r="B61" s="2">
        <v>1013</v>
      </c>
      <c r="C61">
        <f t="shared" si="0"/>
        <v>1.1365320946780425E-3</v>
      </c>
      <c r="D61">
        <f t="shared" si="6"/>
        <v>21.214659685863875</v>
      </c>
      <c r="F61" s="1">
        <v>45804</v>
      </c>
      <c r="G61">
        <v>402.2</v>
      </c>
      <c r="H61">
        <f t="shared" si="1"/>
        <v>-9.9354197714861909E-4</v>
      </c>
      <c r="I61">
        <f t="shared" si="7"/>
        <v>30.460821438974669</v>
      </c>
      <c r="K61" s="1">
        <v>45804</v>
      </c>
      <c r="L61">
        <v>497.35</v>
      </c>
      <c r="M61">
        <f t="shared" si="2"/>
        <v>-1.4953456129926629E-2</v>
      </c>
      <c r="N61">
        <f t="shared" si="8"/>
        <v>15.176329555361816</v>
      </c>
      <c r="P61" s="1">
        <v>45804</v>
      </c>
      <c r="Q61">
        <v>65.39</v>
      </c>
      <c r="R61">
        <f t="shared" si="3"/>
        <v>1.5845890942985798E-2</v>
      </c>
      <c r="S61">
        <f t="shared" si="9"/>
        <v>26.341645885286763</v>
      </c>
      <c r="U61" s="1">
        <v>45804</v>
      </c>
      <c r="V61">
        <v>113.28</v>
      </c>
      <c r="W61">
        <f t="shared" si="4"/>
        <v>6.2178006750755275E-3</v>
      </c>
      <c r="X61">
        <f t="shared" si="10"/>
        <v>26.788777813608508</v>
      </c>
      <c r="Z61">
        <f t="shared" si="11"/>
        <v>119.98223437909563</v>
      </c>
      <c r="AA61" s="10">
        <f t="shared" si="5"/>
        <v>2.8404629805067749E-3</v>
      </c>
    </row>
    <row r="62" spans="1:27" x14ac:dyDescent="0.3">
      <c r="A62" s="1">
        <v>45805</v>
      </c>
      <c r="B62" s="2">
        <v>1001.85</v>
      </c>
      <c r="C62">
        <f t="shared" si="0"/>
        <v>-1.1006910167818339E-2</v>
      </c>
      <c r="D62">
        <f t="shared" si="6"/>
        <v>20.981151832460736</v>
      </c>
      <c r="F62" s="1">
        <v>45805</v>
      </c>
      <c r="G62">
        <v>396.35</v>
      </c>
      <c r="H62">
        <f t="shared" si="1"/>
        <v>-1.4545002486325127E-2</v>
      </c>
      <c r="I62">
        <f t="shared" si="7"/>
        <v>30.017768715409275</v>
      </c>
      <c r="K62" s="1">
        <v>45805</v>
      </c>
      <c r="L62">
        <v>496.3</v>
      </c>
      <c r="M62">
        <f t="shared" si="2"/>
        <v>-2.1111893033075525E-3</v>
      </c>
      <c r="N62">
        <f t="shared" si="8"/>
        <v>15.144289450741066</v>
      </c>
      <c r="P62" s="1">
        <v>45805</v>
      </c>
      <c r="Q62">
        <v>66.319999999999993</v>
      </c>
      <c r="R62">
        <f t="shared" si="3"/>
        <v>1.4222358158739755E-2</v>
      </c>
      <c r="S62">
        <f t="shared" si="9"/>
        <v>26.716286207558003</v>
      </c>
      <c r="U62" s="1">
        <v>45805</v>
      </c>
      <c r="V62">
        <v>116.65</v>
      </c>
      <c r="W62">
        <f t="shared" si="4"/>
        <v>2.9749293785310774E-2</v>
      </c>
      <c r="X62">
        <f t="shared" si="10"/>
        <v>27.585725034934963</v>
      </c>
      <c r="Z62">
        <f t="shared" si="11"/>
        <v>120.44522124110405</v>
      </c>
      <c r="AA62" s="10">
        <f t="shared" si="5"/>
        <v>3.8587951324990932E-3</v>
      </c>
    </row>
    <row r="63" spans="1:27" x14ac:dyDescent="0.3">
      <c r="A63" s="1">
        <v>45806</v>
      </c>
      <c r="B63" s="2">
        <v>1019.05</v>
      </c>
      <c r="C63">
        <f t="shared" si="0"/>
        <v>1.716823875829708E-2</v>
      </c>
      <c r="D63">
        <f t="shared" si="6"/>
        <v>21.341361256544502</v>
      </c>
      <c r="F63" s="1">
        <v>45806</v>
      </c>
      <c r="G63">
        <v>397.3</v>
      </c>
      <c r="H63">
        <f t="shared" si="1"/>
        <v>2.3968714519994666E-3</v>
      </c>
      <c r="I63">
        <f t="shared" si="7"/>
        <v>30.089717448295964</v>
      </c>
      <c r="K63" s="1">
        <v>45806</v>
      </c>
      <c r="L63">
        <v>500.9</v>
      </c>
      <c r="M63">
        <f t="shared" si="2"/>
        <v>9.2685875478540521E-3</v>
      </c>
      <c r="N63">
        <f t="shared" si="8"/>
        <v>15.284655623365301</v>
      </c>
      <c r="P63" s="1">
        <v>45806</v>
      </c>
      <c r="Q63">
        <v>65.42</v>
      </c>
      <c r="R63">
        <f t="shared" si="3"/>
        <v>-1.357056694813015E-2</v>
      </c>
      <c r="S63">
        <f t="shared" si="9"/>
        <v>26.353731056972929</v>
      </c>
      <c r="U63" s="1">
        <v>45806</v>
      </c>
      <c r="V63">
        <v>112.83</v>
      </c>
      <c r="W63">
        <f t="shared" si="4"/>
        <v>-3.2747535362194664E-2</v>
      </c>
      <c r="X63">
        <f t="shared" si="10"/>
        <v>26.682360528861651</v>
      </c>
      <c r="Z63">
        <f t="shared" si="11"/>
        <v>119.75182591404035</v>
      </c>
      <c r="AA63" s="10">
        <f t="shared" si="5"/>
        <v>-5.7569351437835037E-3</v>
      </c>
    </row>
    <row r="64" spans="1:27" x14ac:dyDescent="0.3">
      <c r="A64" s="1">
        <v>45807</v>
      </c>
      <c r="B64" s="2">
        <v>1014.35</v>
      </c>
      <c r="C64">
        <f t="shared" si="0"/>
        <v>-4.6121387566850809E-3</v>
      </c>
      <c r="D64">
        <f t="shared" si="6"/>
        <v>21.242931937172777</v>
      </c>
      <c r="F64" s="1">
        <v>45807</v>
      </c>
      <c r="G64">
        <v>392.8</v>
      </c>
      <c r="H64">
        <f t="shared" si="1"/>
        <v>-1.1326453561540398E-2</v>
      </c>
      <c r="I64">
        <f t="shared" si="7"/>
        <v>29.74890766093797</v>
      </c>
      <c r="K64" s="1">
        <v>45807</v>
      </c>
      <c r="L64">
        <v>487.95</v>
      </c>
      <c r="M64">
        <f t="shared" si="2"/>
        <v>-2.5853463765222576E-2</v>
      </c>
      <c r="N64">
        <f t="shared" si="8"/>
        <v>14.889494333042721</v>
      </c>
      <c r="P64" s="1">
        <v>45807</v>
      </c>
      <c r="Q64">
        <v>71.48</v>
      </c>
      <c r="R64">
        <f t="shared" si="3"/>
        <v>9.2632222561907701E-2</v>
      </c>
      <c r="S64">
        <f t="shared" si="9"/>
        <v>28.794935737579102</v>
      </c>
      <c r="U64" s="1">
        <v>45807</v>
      </c>
      <c r="V64">
        <v>111.26</v>
      </c>
      <c r="W64">
        <f t="shared" si="4"/>
        <v>-1.3914738987857779E-2</v>
      </c>
      <c r="X64">
        <f t="shared" si="10"/>
        <v>26.311082446522622</v>
      </c>
      <c r="Z64">
        <f t="shared" si="11"/>
        <v>120.98735211525519</v>
      </c>
      <c r="AA64" s="10">
        <f t="shared" si="5"/>
        <v>1.0317389248843067E-2</v>
      </c>
    </row>
    <row r="65" spans="1:27" x14ac:dyDescent="0.3">
      <c r="A65" s="1">
        <v>45810</v>
      </c>
      <c r="B65" s="2">
        <v>1009.1</v>
      </c>
      <c r="C65">
        <f t="shared" si="0"/>
        <v>-5.1757282989106325E-3</v>
      </c>
      <c r="D65">
        <f t="shared" si="6"/>
        <v>21.132984293193719</v>
      </c>
      <c r="F65" s="1">
        <v>45810</v>
      </c>
      <c r="G65">
        <v>396.85</v>
      </c>
      <c r="H65">
        <f t="shared" si="1"/>
        <v>1.0310590631364591E-2</v>
      </c>
      <c r="I65">
        <f t="shared" si="7"/>
        <v>30.055636469560167</v>
      </c>
      <c r="K65" s="1">
        <v>45810</v>
      </c>
      <c r="L65">
        <v>497.55</v>
      </c>
      <c r="M65">
        <f t="shared" si="2"/>
        <v>1.9674146941285015E-2</v>
      </c>
      <c r="N65">
        <f t="shared" si="8"/>
        <v>15.182432432432435</v>
      </c>
      <c r="P65" s="1">
        <v>45810</v>
      </c>
      <c r="Q65">
        <v>71.19</v>
      </c>
      <c r="R65">
        <f t="shared" si="3"/>
        <v>-4.0570789031897907E-3</v>
      </c>
      <c r="S65">
        <f t="shared" si="9"/>
        <v>28.678112411279464</v>
      </c>
      <c r="U65" s="1">
        <v>45810</v>
      </c>
      <c r="V65">
        <v>109.42</v>
      </c>
      <c r="W65">
        <f t="shared" si="4"/>
        <v>-1.6537839295344268E-2</v>
      </c>
      <c r="X65">
        <f t="shared" si="10"/>
        <v>25.875953993335479</v>
      </c>
      <c r="Z65">
        <f t="shared" si="11"/>
        <v>120.92511959980126</v>
      </c>
      <c r="AA65" s="10">
        <f t="shared" si="5"/>
        <v>-5.1437207580706801E-4</v>
      </c>
    </row>
    <row r="66" spans="1:27" x14ac:dyDescent="0.3">
      <c r="A66" s="1">
        <v>45811</v>
      </c>
      <c r="B66">
        <v>992.6</v>
      </c>
      <c r="C66">
        <f t="shared" si="0"/>
        <v>-1.6351204043206818E-2</v>
      </c>
      <c r="D66">
        <f t="shared" si="6"/>
        <v>20.787434554973824</v>
      </c>
      <c r="F66" s="1">
        <v>45811</v>
      </c>
      <c r="G66">
        <v>391.5</v>
      </c>
      <c r="H66">
        <f t="shared" si="1"/>
        <v>-1.3481164167821651E-2</v>
      </c>
      <c r="I66">
        <f t="shared" si="7"/>
        <v>29.65045150014566</v>
      </c>
      <c r="K66" s="1">
        <v>45811</v>
      </c>
      <c r="L66">
        <v>499.05</v>
      </c>
      <c r="M66">
        <f t="shared" si="2"/>
        <v>3.0147723846849564E-3</v>
      </c>
      <c r="N66">
        <f t="shared" si="8"/>
        <v>15.228204010462077</v>
      </c>
      <c r="P66" s="1">
        <v>45811</v>
      </c>
      <c r="Q66">
        <v>68.150000000000006</v>
      </c>
      <c r="R66">
        <f t="shared" si="3"/>
        <v>-4.2702626773423125E-2</v>
      </c>
      <c r="S66">
        <f t="shared" si="9"/>
        <v>27.453481680414324</v>
      </c>
      <c r="U66" s="1">
        <v>45811</v>
      </c>
      <c r="V66">
        <v>107.57</v>
      </c>
      <c r="W66">
        <f t="shared" si="4"/>
        <v>-1.690732955583996E-2</v>
      </c>
      <c r="X66">
        <f t="shared" si="10"/>
        <v>25.438460711598402</v>
      </c>
      <c r="Z66">
        <f t="shared" si="11"/>
        <v>118.55803245759429</v>
      </c>
      <c r="AA66" s="10">
        <f t="shared" si="5"/>
        <v>-1.9574817457619909E-2</v>
      </c>
    </row>
    <row r="67" spans="1:27" x14ac:dyDescent="0.3">
      <c r="A67" s="1">
        <v>45812</v>
      </c>
      <c r="B67" s="2">
        <v>1004.8</v>
      </c>
      <c r="C67">
        <f t="shared" si="0"/>
        <v>1.2290953052589091E-2</v>
      </c>
      <c r="D67">
        <f t="shared" si="6"/>
        <v>21.042931937172774</v>
      </c>
      <c r="F67" s="1">
        <v>45812</v>
      </c>
      <c r="G67">
        <v>393.65</v>
      </c>
      <c r="H67">
        <f t="shared" si="1"/>
        <v>5.4916985951468126E-3</v>
      </c>
      <c r="I67">
        <f t="shared" si="7"/>
        <v>29.813282842994479</v>
      </c>
      <c r="K67" s="1">
        <v>45812</v>
      </c>
      <c r="L67">
        <v>509.05</v>
      </c>
      <c r="M67">
        <f t="shared" si="2"/>
        <v>2.0038072337441138E-2</v>
      </c>
      <c r="N67">
        <f t="shared" si="8"/>
        <v>15.533347863993027</v>
      </c>
      <c r="P67" s="1">
        <v>45812</v>
      </c>
      <c r="Q67">
        <v>66.72</v>
      </c>
      <c r="R67">
        <f t="shared" si="3"/>
        <v>-2.0983125458547421E-2</v>
      </c>
      <c r="S67">
        <f t="shared" si="9"/>
        <v>26.877421830040259</v>
      </c>
      <c r="U67" s="1">
        <v>45812</v>
      </c>
      <c r="V67">
        <v>107.91</v>
      </c>
      <c r="W67">
        <f t="shared" si="4"/>
        <v>3.160732546248986E-3</v>
      </c>
      <c r="X67">
        <f t="shared" si="10"/>
        <v>25.518864882296029</v>
      </c>
      <c r="Z67">
        <f t="shared" si="11"/>
        <v>118.78584935649658</v>
      </c>
      <c r="AA67" s="10">
        <f t="shared" si="5"/>
        <v>1.9215644370935703E-3</v>
      </c>
    </row>
    <row r="68" spans="1:27" x14ac:dyDescent="0.3">
      <c r="A68" s="1">
        <v>45813</v>
      </c>
      <c r="B68" s="2">
        <v>1003.6</v>
      </c>
      <c r="C68">
        <f t="shared" si="0"/>
        <v>-1.194267515923499E-3</v>
      </c>
      <c r="D68">
        <f t="shared" si="6"/>
        <v>21.017801047120418</v>
      </c>
      <c r="F68" s="1">
        <v>45813</v>
      </c>
      <c r="G68">
        <v>393.55</v>
      </c>
      <c r="H68">
        <f t="shared" si="1"/>
        <v>-2.5403277022727271E-4</v>
      </c>
      <c r="I68">
        <f t="shared" si="7"/>
        <v>29.805709292164302</v>
      </c>
      <c r="K68" s="1">
        <v>45813</v>
      </c>
      <c r="L68">
        <v>508.1</v>
      </c>
      <c r="M68">
        <f t="shared" si="2"/>
        <v>-1.8662213927904698E-3</v>
      </c>
      <c r="N68">
        <f t="shared" si="8"/>
        <v>15.504359197907588</v>
      </c>
      <c r="P68" s="1">
        <v>45813</v>
      </c>
      <c r="Q68">
        <v>66.77</v>
      </c>
      <c r="R68">
        <f t="shared" si="3"/>
        <v>7.4940047961626435E-4</v>
      </c>
      <c r="S68">
        <f t="shared" si="9"/>
        <v>26.89756378285054</v>
      </c>
      <c r="U68" s="1">
        <v>45813</v>
      </c>
      <c r="V68">
        <v>109.07</v>
      </c>
      <c r="W68">
        <f t="shared" si="4"/>
        <v>1.0749698823093286E-2</v>
      </c>
      <c r="X68">
        <f t="shared" si="10"/>
        <v>25.793184994087923</v>
      </c>
      <c r="Z68">
        <f t="shared" si="11"/>
        <v>119.01861831413076</v>
      </c>
      <c r="AA68" s="10">
        <f t="shared" si="5"/>
        <v>1.9595680705670748E-3</v>
      </c>
    </row>
    <row r="69" spans="1:27" x14ac:dyDescent="0.3">
      <c r="A69" s="1">
        <v>45814</v>
      </c>
      <c r="B69" s="2">
        <v>1018.8</v>
      </c>
      <c r="C69">
        <f t="shared" si="0"/>
        <v>1.514547628537259E-2</v>
      </c>
      <c r="D69">
        <f t="shared" si="6"/>
        <v>21.33612565445026</v>
      </c>
      <c r="F69" s="1">
        <v>45814</v>
      </c>
      <c r="G69">
        <v>399.55</v>
      </c>
      <c r="H69">
        <f t="shared" si="1"/>
        <v>1.52458391563969E-2</v>
      </c>
      <c r="I69">
        <f t="shared" si="7"/>
        <v>30.260122341974967</v>
      </c>
      <c r="K69" s="1">
        <v>45814</v>
      </c>
      <c r="L69">
        <v>522.85</v>
      </c>
      <c r="M69">
        <f t="shared" si="2"/>
        <v>2.902971855933871E-2</v>
      </c>
      <c r="N69">
        <f t="shared" si="8"/>
        <v>15.95444638186574</v>
      </c>
      <c r="P69" s="1">
        <v>45814</v>
      </c>
      <c r="Q69">
        <v>66.709999999999994</v>
      </c>
      <c r="R69">
        <f t="shared" si="3"/>
        <v>-8.9860715890373332E-4</v>
      </c>
      <c r="S69">
        <f t="shared" si="9"/>
        <v>26.8733934394782</v>
      </c>
      <c r="U69" s="1">
        <v>45814</v>
      </c>
      <c r="V69">
        <v>108.74</v>
      </c>
      <c r="W69">
        <f t="shared" si="4"/>
        <v>-3.0255799028146907E-3</v>
      </c>
      <c r="X69">
        <f t="shared" si="10"/>
        <v>25.715145651940229</v>
      </c>
      <c r="Z69">
        <f t="shared" si="11"/>
        <v>120.13923346970938</v>
      </c>
      <c r="AA69" s="10">
        <f t="shared" si="5"/>
        <v>9.4154609711645243E-3</v>
      </c>
    </row>
    <row r="70" spans="1:27" x14ac:dyDescent="0.3">
      <c r="A70" s="1">
        <v>45817</v>
      </c>
      <c r="B70" s="2">
        <v>1034.3</v>
      </c>
      <c r="C70">
        <f t="shared" ref="C70:C133" si="12">(B70-B69)/B69</f>
        <v>1.5213977228111504E-2</v>
      </c>
      <c r="D70">
        <f t="shared" si="6"/>
        <v>21.66073298429319</v>
      </c>
      <c r="F70" s="1">
        <v>45817</v>
      </c>
      <c r="G70">
        <v>406.2</v>
      </c>
      <c r="H70">
        <f t="shared" ref="H70:H133" si="13">(G70-G69)/G69</f>
        <v>1.6643724189713369E-2</v>
      </c>
      <c r="I70">
        <f t="shared" si="7"/>
        <v>30.763763472181779</v>
      </c>
      <c r="K70" s="1">
        <v>45817</v>
      </c>
      <c r="L70">
        <v>534.9</v>
      </c>
      <c r="M70">
        <f t="shared" ref="M70:M133" si="14">(L70-L69)/L69</f>
        <v>2.3046762933919773E-2</v>
      </c>
      <c r="N70">
        <f t="shared" si="8"/>
        <v>16.322144725370531</v>
      </c>
      <c r="P70" s="1">
        <v>45817</v>
      </c>
      <c r="Q70">
        <v>66.05</v>
      </c>
      <c r="R70">
        <f t="shared" ref="R70:R133" si="15">(Q70-Q69)/Q69</f>
        <v>-9.8935691800329292E-3</v>
      </c>
      <c r="S70">
        <f t="shared" si="9"/>
        <v>26.607519662382479</v>
      </c>
      <c r="U70" s="1">
        <v>45817</v>
      </c>
      <c r="V70">
        <v>112.59</v>
      </c>
      <c r="W70">
        <f t="shared" ref="W70:W133" si="16">(V70-V69)/V69</f>
        <v>3.5405554533750307E-2</v>
      </c>
      <c r="X70">
        <f t="shared" si="10"/>
        <v>26.625604643663333</v>
      </c>
      <c r="Z70">
        <f t="shared" si="11"/>
        <v>121.97976548789131</v>
      </c>
      <c r="AA70" s="10">
        <f t="shared" ref="AA70:AA133" si="17">Z70/Z69-1</f>
        <v>1.5319991355246865E-2</v>
      </c>
    </row>
    <row r="71" spans="1:27" x14ac:dyDescent="0.3">
      <c r="A71" s="1">
        <v>45818</v>
      </c>
      <c r="B71" s="2">
        <v>1060.5</v>
      </c>
      <c r="C71">
        <f t="shared" si="12"/>
        <v>2.5331141835057573E-2</v>
      </c>
      <c r="D71">
        <f t="shared" ref="D71:D134" si="18">D70*(1+C71)</f>
        <v>22.20942408376963</v>
      </c>
      <c r="F71" s="1">
        <v>45818</v>
      </c>
      <c r="G71">
        <v>413.2</v>
      </c>
      <c r="H71">
        <f t="shared" si="13"/>
        <v>1.7232890201871E-2</v>
      </c>
      <c r="I71">
        <f t="shared" ref="I71:I134" si="19">I70*(1+H71)</f>
        <v>31.293912030294219</v>
      </c>
      <c r="K71" s="1">
        <v>45818</v>
      </c>
      <c r="L71">
        <v>533.20000000000005</v>
      </c>
      <c r="M71">
        <f t="shared" si="14"/>
        <v>-3.1781641428303082E-3</v>
      </c>
      <c r="N71">
        <f t="shared" ref="N71:N134" si="20">N70*(1+M71)</f>
        <v>16.27027027027027</v>
      </c>
      <c r="P71" s="1">
        <v>45818</v>
      </c>
      <c r="Q71">
        <v>67.13</v>
      </c>
      <c r="R71">
        <f t="shared" si="15"/>
        <v>1.6351249053747137E-2</v>
      </c>
      <c r="S71">
        <f t="shared" ref="S71:S134" si="21">S70*(1+R71)</f>
        <v>27.04258584308457</v>
      </c>
      <c r="U71" s="1">
        <v>45818</v>
      </c>
      <c r="V71">
        <v>112.52</v>
      </c>
      <c r="W71">
        <f t="shared" si="16"/>
        <v>-6.2172484234840916E-4</v>
      </c>
      <c r="X71">
        <f t="shared" ref="X71:X134" si="22">X70*(1+W71)</f>
        <v>26.609050843813819</v>
      </c>
      <c r="Z71">
        <f t="shared" ref="Z71:Z134" si="23">X71+S71+N71+I71+D71</f>
        <v>123.42524307123252</v>
      </c>
      <c r="AA71" s="10">
        <f t="shared" si="17"/>
        <v>1.1850142337621383E-2</v>
      </c>
    </row>
    <row r="72" spans="1:27" x14ac:dyDescent="0.3">
      <c r="A72" s="1">
        <v>45819</v>
      </c>
      <c r="B72" s="2">
        <v>1046.8</v>
      </c>
      <c r="C72">
        <f t="shared" si="12"/>
        <v>-1.2918434700612961E-2</v>
      </c>
      <c r="D72">
        <f t="shared" si="18"/>
        <v>21.922513089005232</v>
      </c>
      <c r="F72" s="1">
        <v>45819</v>
      </c>
      <c r="G72">
        <v>412.05</v>
      </c>
      <c r="H72">
        <f t="shared" si="13"/>
        <v>-2.7831558567279219E-3</v>
      </c>
      <c r="I72">
        <f t="shared" si="19"/>
        <v>31.206816195747177</v>
      </c>
      <c r="K72" s="1">
        <v>45819</v>
      </c>
      <c r="L72">
        <v>535.5</v>
      </c>
      <c r="M72">
        <f t="shared" si="14"/>
        <v>4.3135783945985641E-3</v>
      </c>
      <c r="N72">
        <f t="shared" si="20"/>
        <v>16.34045335658239</v>
      </c>
      <c r="P72" s="1">
        <v>45819</v>
      </c>
      <c r="Q72">
        <v>68.290000000000006</v>
      </c>
      <c r="R72">
        <f t="shared" si="15"/>
        <v>1.7279904662595127E-2</v>
      </c>
      <c r="S72">
        <f t="shared" si="21"/>
        <v>27.509879148283115</v>
      </c>
      <c r="U72" s="1">
        <v>45819</v>
      </c>
      <c r="V72">
        <v>111.96</v>
      </c>
      <c r="W72">
        <f t="shared" si="16"/>
        <v>-4.9768929968005892E-3</v>
      </c>
      <c r="X72">
        <f t="shared" si="22"/>
        <v>26.47662044501773</v>
      </c>
      <c r="Z72">
        <f t="shared" si="23"/>
        <v>123.45628223463565</v>
      </c>
      <c r="AA72" s="10">
        <f t="shared" si="17"/>
        <v>2.5148148491171973E-4</v>
      </c>
    </row>
    <row r="73" spans="1:27" x14ac:dyDescent="0.3">
      <c r="A73" s="1">
        <v>45820</v>
      </c>
      <c r="B73" s="2">
        <v>1015.8</v>
      </c>
      <c r="C73">
        <f t="shared" si="12"/>
        <v>-2.9614061902942301E-2</v>
      </c>
      <c r="D73">
        <f t="shared" si="18"/>
        <v>21.273298429319368</v>
      </c>
      <c r="F73" s="1">
        <v>45820</v>
      </c>
      <c r="G73">
        <v>401.65</v>
      </c>
      <c r="H73">
        <f t="shared" si="13"/>
        <v>-2.5239655381628524E-2</v>
      </c>
      <c r="I73">
        <f t="shared" si="19"/>
        <v>30.419166909408695</v>
      </c>
      <c r="K73" s="1">
        <v>45820</v>
      </c>
      <c r="L73">
        <v>516.79999999999995</v>
      </c>
      <c r="M73">
        <f t="shared" si="14"/>
        <v>-3.4920634920635005E-2</v>
      </c>
      <c r="N73">
        <f t="shared" si="20"/>
        <v>15.769834350479512</v>
      </c>
      <c r="P73" s="1">
        <v>45820</v>
      </c>
      <c r="Q73">
        <v>67.59</v>
      </c>
      <c r="R73">
        <f t="shared" si="15"/>
        <v>-1.0250402694391605E-2</v>
      </c>
      <c r="S73">
        <f t="shared" si="21"/>
        <v>27.227891808939166</v>
      </c>
      <c r="U73" s="1">
        <v>45820</v>
      </c>
      <c r="V73">
        <v>108.65</v>
      </c>
      <c r="W73">
        <f t="shared" si="16"/>
        <v>-2.9564130046445054E-2</v>
      </c>
      <c r="X73">
        <f t="shared" si="22"/>
        <v>25.69386219499086</v>
      </c>
      <c r="Z73">
        <f t="shared" si="23"/>
        <v>120.38405369313759</v>
      </c>
      <c r="AA73" s="10">
        <f t="shared" si="17"/>
        <v>-2.4885153561153839E-2</v>
      </c>
    </row>
    <row r="74" spans="1:27" x14ac:dyDescent="0.3">
      <c r="A74" s="1">
        <v>45821</v>
      </c>
      <c r="B74">
        <v>989.5</v>
      </c>
      <c r="C74">
        <f t="shared" si="12"/>
        <v>-2.5890923410120059E-2</v>
      </c>
      <c r="D74">
        <f t="shared" si="18"/>
        <v>20.722513089005233</v>
      </c>
      <c r="F74" s="1">
        <v>45821</v>
      </c>
      <c r="G74">
        <v>397.2</v>
      </c>
      <c r="H74">
        <f t="shared" si="13"/>
        <v>-1.1079297896178238E-2</v>
      </c>
      <c r="I74">
        <f t="shared" si="19"/>
        <v>30.082143897465787</v>
      </c>
      <c r="K74" s="1">
        <v>45821</v>
      </c>
      <c r="L74">
        <v>506.85</v>
      </c>
      <c r="M74">
        <f t="shared" si="14"/>
        <v>-1.9253095975232067E-2</v>
      </c>
      <c r="N74">
        <f t="shared" si="20"/>
        <v>15.466216216216218</v>
      </c>
      <c r="P74" s="1">
        <v>45821</v>
      </c>
      <c r="Q74">
        <v>65.680000000000007</v>
      </c>
      <c r="R74">
        <f t="shared" si="15"/>
        <v>-2.8258618138777874E-2</v>
      </c>
      <c r="S74">
        <f t="shared" si="21"/>
        <v>26.458469211586397</v>
      </c>
      <c r="U74" s="1">
        <v>45821</v>
      </c>
      <c r="V74">
        <v>107.44</v>
      </c>
      <c r="W74">
        <f t="shared" si="16"/>
        <v>-1.1136677404509967E-2</v>
      </c>
      <c r="X74">
        <f t="shared" si="22"/>
        <v>25.407717940449313</v>
      </c>
      <c r="Z74">
        <f t="shared" si="23"/>
        <v>118.13706035472295</v>
      </c>
      <c r="AA74" s="10">
        <f t="shared" si="17"/>
        <v>-1.8665207471267653E-2</v>
      </c>
    </row>
    <row r="75" spans="1:27" x14ac:dyDescent="0.3">
      <c r="A75" s="1">
        <v>45824</v>
      </c>
      <c r="B75">
        <v>992</v>
      </c>
      <c r="C75">
        <f t="shared" si="12"/>
        <v>2.5265285497726125E-3</v>
      </c>
      <c r="D75">
        <f t="shared" si="18"/>
        <v>20.774869109947641</v>
      </c>
      <c r="F75" s="1">
        <v>45824</v>
      </c>
      <c r="G75">
        <v>399.4</v>
      </c>
      <c r="H75">
        <f t="shared" si="13"/>
        <v>5.5387713997985619E-3</v>
      </c>
      <c r="I75">
        <f t="shared" si="19"/>
        <v>30.248762015729696</v>
      </c>
      <c r="K75" s="1">
        <v>45824</v>
      </c>
      <c r="L75">
        <v>512.85</v>
      </c>
      <c r="M75">
        <f t="shared" si="14"/>
        <v>1.1837821840781295E-2</v>
      </c>
      <c r="N75">
        <f t="shared" si="20"/>
        <v>15.649302528334788</v>
      </c>
      <c r="P75" s="1">
        <v>45824</v>
      </c>
      <c r="Q75">
        <v>64.73</v>
      </c>
      <c r="R75">
        <f t="shared" si="15"/>
        <v>-1.4464068209500651E-2</v>
      </c>
      <c r="S75">
        <f t="shared" si="21"/>
        <v>26.075772108191039</v>
      </c>
      <c r="U75" s="1">
        <v>45824</v>
      </c>
      <c r="V75">
        <v>108.35</v>
      </c>
      <c r="W75">
        <f t="shared" si="16"/>
        <v>8.4698436336559622E-3</v>
      </c>
      <c r="X75">
        <f t="shared" si="22"/>
        <v>25.62291733849295</v>
      </c>
      <c r="Z75">
        <f t="shared" si="23"/>
        <v>118.37162310069611</v>
      </c>
      <c r="AA75" s="10">
        <f t="shared" si="17"/>
        <v>1.9855136505755322E-3</v>
      </c>
    </row>
    <row r="76" spans="1:27" x14ac:dyDescent="0.3">
      <c r="A76" s="1">
        <v>45825</v>
      </c>
      <c r="B76">
        <v>977.5</v>
      </c>
      <c r="C76">
        <f t="shared" si="12"/>
        <v>-1.4616935483870967E-2</v>
      </c>
      <c r="D76">
        <f t="shared" si="18"/>
        <v>20.471204188481671</v>
      </c>
      <c r="F76" s="1">
        <v>45825</v>
      </c>
      <c r="G76">
        <v>396.05</v>
      </c>
      <c r="H76">
        <f t="shared" si="13"/>
        <v>-8.3875813720580023E-3</v>
      </c>
      <c r="I76">
        <f t="shared" si="19"/>
        <v>29.995048062918748</v>
      </c>
      <c r="K76" s="1">
        <v>45825</v>
      </c>
      <c r="L76">
        <v>503.35</v>
      </c>
      <c r="M76">
        <f t="shared" si="14"/>
        <v>-1.8523934873744759E-2</v>
      </c>
      <c r="N76">
        <f t="shared" si="20"/>
        <v>15.359415867480386</v>
      </c>
      <c r="P76" s="1">
        <v>45825</v>
      </c>
      <c r="Q76">
        <v>65.41</v>
      </c>
      <c r="R76">
        <f t="shared" si="15"/>
        <v>1.0505175343735402E-2</v>
      </c>
      <c r="S76">
        <f t="shared" si="21"/>
        <v>26.349702666410867</v>
      </c>
      <c r="U76" s="1">
        <v>45825</v>
      </c>
      <c r="V76">
        <v>107.22</v>
      </c>
      <c r="W76">
        <f t="shared" si="16"/>
        <v>-1.0429164743885515E-2</v>
      </c>
      <c r="X76">
        <f t="shared" si="22"/>
        <v>25.355691712350847</v>
      </c>
      <c r="Z76">
        <f t="shared" si="23"/>
        <v>117.53106249764252</v>
      </c>
      <c r="AA76" s="10">
        <f t="shared" si="17"/>
        <v>-7.1010313201378406E-3</v>
      </c>
    </row>
    <row r="77" spans="1:27" x14ac:dyDescent="0.3">
      <c r="A77" s="1">
        <v>45826</v>
      </c>
      <c r="B77">
        <v>968.9</v>
      </c>
      <c r="C77">
        <f t="shared" si="12"/>
        <v>-8.7979539641943969E-3</v>
      </c>
      <c r="D77">
        <f t="shared" si="18"/>
        <v>20.291099476439786</v>
      </c>
      <c r="F77" s="1">
        <v>45826</v>
      </c>
      <c r="G77">
        <v>393.4</v>
      </c>
      <c r="H77">
        <f t="shared" si="13"/>
        <v>-6.6910743592981546E-3</v>
      </c>
      <c r="I77">
        <f t="shared" si="19"/>
        <v>29.794348965919035</v>
      </c>
      <c r="K77" s="1">
        <v>45826</v>
      </c>
      <c r="L77">
        <v>504.05</v>
      </c>
      <c r="M77">
        <f t="shared" si="14"/>
        <v>1.3906824277341583E-3</v>
      </c>
      <c r="N77">
        <f t="shared" si="20"/>
        <v>15.380775937227552</v>
      </c>
      <c r="P77" s="1">
        <v>45826</v>
      </c>
      <c r="Q77">
        <v>64.52</v>
      </c>
      <c r="R77">
        <f t="shared" si="15"/>
        <v>-1.3606482189267705E-2</v>
      </c>
      <c r="S77">
        <f t="shared" si="21"/>
        <v>25.991175906387845</v>
      </c>
      <c r="U77" s="1">
        <v>45826</v>
      </c>
      <c r="V77">
        <v>106.68</v>
      </c>
      <c r="W77">
        <f t="shared" si="16"/>
        <v>-5.0363738108561091E-3</v>
      </c>
      <c r="X77">
        <f t="shared" si="22"/>
        <v>25.227990970654623</v>
      </c>
      <c r="Z77">
        <f t="shared" si="23"/>
        <v>116.68539125662885</v>
      </c>
      <c r="AA77" s="10">
        <f t="shared" si="17"/>
        <v>-7.1952998895984388E-3</v>
      </c>
    </row>
    <row r="78" spans="1:27" x14ac:dyDescent="0.3">
      <c r="A78" s="1">
        <v>45827</v>
      </c>
      <c r="B78">
        <v>934</v>
      </c>
      <c r="C78">
        <f t="shared" si="12"/>
        <v>-3.6020229125812757E-2</v>
      </c>
      <c r="D78">
        <f t="shared" si="18"/>
        <v>19.560209424083766</v>
      </c>
      <c r="F78" s="1">
        <v>45827</v>
      </c>
      <c r="G78">
        <v>384.55</v>
      </c>
      <c r="H78">
        <f t="shared" si="13"/>
        <v>-2.2496187086934332E-2</v>
      </c>
      <c r="I78">
        <f t="shared" si="19"/>
        <v>29.12408971744831</v>
      </c>
      <c r="K78" s="1">
        <v>45827</v>
      </c>
      <c r="L78">
        <v>480.55</v>
      </c>
      <c r="M78">
        <f t="shared" si="14"/>
        <v>-4.6622358892966967E-2</v>
      </c>
      <c r="N78">
        <f t="shared" si="20"/>
        <v>14.663687881429819</v>
      </c>
      <c r="P78" s="1">
        <v>45827</v>
      </c>
      <c r="Q78">
        <v>64.069999999999993</v>
      </c>
      <c r="R78">
        <f t="shared" si="15"/>
        <v>-6.9745815251085379E-3</v>
      </c>
      <c r="S78">
        <f t="shared" si="21"/>
        <v>25.809898331095305</v>
      </c>
      <c r="U78" s="1">
        <v>45827</v>
      </c>
      <c r="V78">
        <v>104.01</v>
      </c>
      <c r="W78">
        <f t="shared" si="16"/>
        <v>-2.5028121484814411E-2</v>
      </c>
      <c r="X78">
        <f t="shared" si="22"/>
        <v>24.596581747823279</v>
      </c>
      <c r="Z78">
        <f t="shared" si="23"/>
        <v>113.75446710188048</v>
      </c>
      <c r="AA78" s="10">
        <f t="shared" si="17"/>
        <v>-2.5118175661787201E-2</v>
      </c>
    </row>
    <row r="79" spans="1:27" x14ac:dyDescent="0.3">
      <c r="A79" s="1">
        <v>45828</v>
      </c>
      <c r="B79">
        <v>947.7</v>
      </c>
      <c r="C79">
        <f t="shared" si="12"/>
        <v>1.4668094218415466E-2</v>
      </c>
      <c r="D79">
        <f t="shared" si="18"/>
        <v>19.847120418848164</v>
      </c>
      <c r="F79" s="1">
        <v>45828</v>
      </c>
      <c r="G79">
        <v>390.1</v>
      </c>
      <c r="H79">
        <f t="shared" si="13"/>
        <v>1.4432453517097935E-2</v>
      </c>
      <c r="I79">
        <f t="shared" si="19"/>
        <v>29.54442178852317</v>
      </c>
      <c r="K79" s="1">
        <v>45828</v>
      </c>
      <c r="L79">
        <v>499.3</v>
      </c>
      <c r="M79">
        <f t="shared" si="14"/>
        <v>3.9017792113203623E-2</v>
      </c>
      <c r="N79">
        <f t="shared" si="20"/>
        <v>15.235832606800351</v>
      </c>
      <c r="P79" s="1">
        <v>45828</v>
      </c>
      <c r="Q79">
        <v>62.53</v>
      </c>
      <c r="R79">
        <f t="shared" si="15"/>
        <v>-2.4036210394880478E-2</v>
      </c>
      <c r="S79">
        <f t="shared" si="21"/>
        <v>25.189526184538625</v>
      </c>
      <c r="U79" s="1">
        <v>45828</v>
      </c>
      <c r="V79">
        <v>110.26</v>
      </c>
      <c r="W79">
        <f t="shared" si="16"/>
        <v>6.0090375925391785E-2</v>
      </c>
      <c r="X79">
        <f t="shared" si="22"/>
        <v>26.074599591529608</v>
      </c>
      <c r="Z79">
        <f t="shared" si="23"/>
        <v>115.89150059023991</v>
      </c>
      <c r="AA79" s="10">
        <f t="shared" si="17"/>
        <v>1.8786369826210514E-2</v>
      </c>
    </row>
    <row r="80" spans="1:27" x14ac:dyDescent="0.3">
      <c r="A80" s="1">
        <v>45831</v>
      </c>
      <c r="B80">
        <v>960.5</v>
      </c>
      <c r="C80">
        <f t="shared" si="12"/>
        <v>1.3506383876754199E-2</v>
      </c>
      <c r="D80">
        <f t="shared" si="18"/>
        <v>20.115183246073293</v>
      </c>
      <c r="F80" s="1">
        <v>45831</v>
      </c>
      <c r="G80">
        <v>393</v>
      </c>
      <c r="H80">
        <f t="shared" si="13"/>
        <v>7.4339912842860218E-3</v>
      </c>
      <c r="I80">
        <f t="shared" si="19"/>
        <v>29.76405476259832</v>
      </c>
      <c r="K80" s="1">
        <v>45831</v>
      </c>
      <c r="L80">
        <v>500.55</v>
      </c>
      <c r="M80">
        <f t="shared" si="14"/>
        <v>2.5035049068696173E-3</v>
      </c>
      <c r="N80">
        <f t="shared" si="20"/>
        <v>15.273975588491719</v>
      </c>
      <c r="P80" s="1">
        <v>45831</v>
      </c>
      <c r="Q80">
        <v>63.23</v>
      </c>
      <c r="R80">
        <f t="shared" si="15"/>
        <v>1.1194626579241895E-2</v>
      </c>
      <c r="S80">
        <f t="shared" si="21"/>
        <v>25.471513523882575</v>
      </c>
      <c r="U80" s="1">
        <v>45831</v>
      </c>
      <c r="V80">
        <v>108.31</v>
      </c>
      <c r="W80">
        <f t="shared" si="16"/>
        <v>-1.7685470705604958E-2</v>
      </c>
      <c r="X80">
        <f t="shared" si="22"/>
        <v>25.61345802429323</v>
      </c>
      <c r="Z80">
        <f t="shared" si="23"/>
        <v>116.23818514533914</v>
      </c>
      <c r="AA80" s="10">
        <f t="shared" si="17"/>
        <v>2.9914579872860614E-3</v>
      </c>
    </row>
    <row r="81" spans="1:27" x14ac:dyDescent="0.3">
      <c r="A81" s="1">
        <v>45832</v>
      </c>
      <c r="B81">
        <v>987.3</v>
      </c>
      <c r="C81">
        <f t="shared" si="12"/>
        <v>2.7902134305049404E-2</v>
      </c>
      <c r="D81">
        <f t="shared" si="18"/>
        <v>20.676439790575909</v>
      </c>
      <c r="F81" s="1">
        <v>45832</v>
      </c>
      <c r="G81">
        <v>398.45</v>
      </c>
      <c r="H81">
        <f t="shared" si="13"/>
        <v>1.3867684478371473E-2</v>
      </c>
      <c r="I81">
        <f t="shared" si="19"/>
        <v>30.176813282843</v>
      </c>
      <c r="K81" s="1">
        <v>45832</v>
      </c>
      <c r="L81">
        <v>504.9</v>
      </c>
      <c r="M81">
        <f t="shared" si="14"/>
        <v>8.6904405154329557E-3</v>
      </c>
      <c r="N81">
        <f t="shared" si="20"/>
        <v>15.406713164777681</v>
      </c>
      <c r="P81" s="1">
        <v>45832</v>
      </c>
      <c r="Q81">
        <v>62.79</v>
      </c>
      <c r="R81">
        <f t="shared" si="15"/>
        <v>-6.9587221255732684E-3</v>
      </c>
      <c r="S81">
        <f t="shared" si="21"/>
        <v>25.294264339152093</v>
      </c>
      <c r="U81" s="1">
        <v>45832</v>
      </c>
      <c r="V81">
        <v>107.3</v>
      </c>
      <c r="W81">
        <f t="shared" si="16"/>
        <v>-9.3250854030099261E-3</v>
      </c>
      <c r="X81">
        <f t="shared" si="22"/>
        <v>25.374610340750287</v>
      </c>
      <c r="Z81">
        <f t="shared" si="23"/>
        <v>116.92884091809897</v>
      </c>
      <c r="AA81" s="10">
        <f t="shared" si="17"/>
        <v>5.9417288036307525E-3</v>
      </c>
    </row>
    <row r="82" spans="1:27" x14ac:dyDescent="0.3">
      <c r="A82" s="1">
        <v>45833</v>
      </c>
      <c r="B82">
        <v>981.1</v>
      </c>
      <c r="C82">
        <f t="shared" si="12"/>
        <v>-6.2797528613389364E-3</v>
      </c>
      <c r="D82">
        <f t="shared" si="18"/>
        <v>20.546596858638736</v>
      </c>
      <c r="F82" s="1">
        <v>45833</v>
      </c>
      <c r="G82">
        <v>403.05</v>
      </c>
      <c r="H82">
        <f t="shared" si="13"/>
        <v>1.1544735851424327E-2</v>
      </c>
      <c r="I82">
        <f t="shared" si="19"/>
        <v>30.525196621031174</v>
      </c>
      <c r="K82" s="1">
        <v>45833</v>
      </c>
      <c r="L82">
        <v>507.7</v>
      </c>
      <c r="M82">
        <f t="shared" si="14"/>
        <v>5.5456526044761565E-3</v>
      </c>
      <c r="N82">
        <f t="shared" si="20"/>
        <v>15.492153443766348</v>
      </c>
      <c r="P82" s="1">
        <v>45833</v>
      </c>
      <c r="Q82">
        <v>64.39</v>
      </c>
      <c r="R82">
        <f t="shared" si="15"/>
        <v>2.5481764612199417E-2</v>
      </c>
      <c r="S82">
        <f t="shared" si="21"/>
        <v>25.938806829081116</v>
      </c>
      <c r="U82" s="1">
        <v>45833</v>
      </c>
      <c r="V82">
        <v>107.24</v>
      </c>
      <c r="W82">
        <f t="shared" si="16"/>
        <v>-5.5917986952471832E-4</v>
      </c>
      <c r="X82">
        <f t="shared" si="22"/>
        <v>25.360421369450705</v>
      </c>
      <c r="Z82">
        <f t="shared" si="23"/>
        <v>117.86317512196808</v>
      </c>
      <c r="AA82" s="10">
        <f t="shared" si="17"/>
        <v>7.9906223009902355E-3</v>
      </c>
    </row>
    <row r="83" spans="1:27" x14ac:dyDescent="0.3">
      <c r="A83" s="1">
        <v>45834</v>
      </c>
      <c r="B83">
        <v>992</v>
      </c>
      <c r="C83">
        <f t="shared" si="12"/>
        <v>1.1109978595454059E-2</v>
      </c>
      <c r="D83">
        <f t="shared" si="18"/>
        <v>20.774869109947637</v>
      </c>
      <c r="F83" s="1">
        <v>45834</v>
      </c>
      <c r="G83">
        <v>405.65</v>
      </c>
      <c r="H83">
        <f t="shared" si="13"/>
        <v>6.4508125542735786E-3</v>
      </c>
      <c r="I83">
        <f t="shared" si="19"/>
        <v>30.72210894261579</v>
      </c>
      <c r="K83" s="1">
        <v>45834</v>
      </c>
      <c r="L83">
        <v>516.95000000000005</v>
      </c>
      <c r="M83">
        <f t="shared" si="14"/>
        <v>1.8219420917864992E-2</v>
      </c>
      <c r="N83">
        <f t="shared" si="20"/>
        <v>15.77441150828248</v>
      </c>
      <c r="P83" s="1">
        <v>45834</v>
      </c>
      <c r="Q83">
        <v>64.319999999999993</v>
      </c>
      <c r="R83">
        <f t="shared" si="15"/>
        <v>-1.0871253300203043E-3</v>
      </c>
      <c r="S83">
        <f t="shared" si="21"/>
        <v>25.910608095146717</v>
      </c>
      <c r="U83" s="1">
        <v>45834</v>
      </c>
      <c r="V83">
        <v>106.75</v>
      </c>
      <c r="W83">
        <f t="shared" si="16"/>
        <v>-4.5691906005221458E-3</v>
      </c>
      <c r="X83">
        <f t="shared" si="22"/>
        <v>25.244544770504127</v>
      </c>
      <c r="Z83">
        <f t="shared" si="23"/>
        <v>118.42654242649675</v>
      </c>
      <c r="AA83" s="10">
        <f t="shared" si="17"/>
        <v>4.7798415743143252E-3</v>
      </c>
    </row>
    <row r="84" spans="1:27" x14ac:dyDescent="0.3">
      <c r="A84" s="1">
        <v>45835</v>
      </c>
      <c r="B84" s="2">
        <v>1015.6</v>
      </c>
      <c r="C84">
        <f t="shared" si="12"/>
        <v>2.3790322580645184E-2</v>
      </c>
      <c r="D84">
        <f t="shared" si="18"/>
        <v>21.269109947643976</v>
      </c>
      <c r="F84" s="1">
        <v>45835</v>
      </c>
      <c r="G84">
        <v>408.85</v>
      </c>
      <c r="H84">
        <f t="shared" si="13"/>
        <v>7.8885738937508835E-3</v>
      </c>
      <c r="I84">
        <f t="shared" si="19"/>
        <v>30.964462569181478</v>
      </c>
      <c r="K84" s="1">
        <v>45835</v>
      </c>
      <c r="L84">
        <v>522.5</v>
      </c>
      <c r="M84">
        <f t="shared" si="14"/>
        <v>1.0736047973691758E-2</v>
      </c>
      <c r="N84">
        <f t="shared" si="20"/>
        <v>15.943766346992156</v>
      </c>
      <c r="P84" s="1">
        <v>45835</v>
      </c>
      <c r="Q84">
        <v>64.53</v>
      </c>
      <c r="R84">
        <f t="shared" si="15"/>
        <v>3.2649253731344523E-3</v>
      </c>
      <c r="S84">
        <f t="shared" si="21"/>
        <v>25.995204296949904</v>
      </c>
      <c r="U84" s="1">
        <v>45835</v>
      </c>
      <c r="V84">
        <v>105.93</v>
      </c>
      <c r="W84">
        <f t="shared" si="16"/>
        <v>-7.6814988290397485E-3</v>
      </c>
      <c r="X84">
        <f t="shared" si="22"/>
        <v>25.050628829409856</v>
      </c>
      <c r="Z84">
        <f t="shared" si="23"/>
        <v>119.22317199017738</v>
      </c>
      <c r="AA84" s="10">
        <f t="shared" si="17"/>
        <v>6.726782251327279E-3</v>
      </c>
    </row>
    <row r="85" spans="1:27" x14ac:dyDescent="0.3">
      <c r="A85" s="1">
        <v>45838</v>
      </c>
      <c r="B85" s="2">
        <v>1025.5999999999999</v>
      </c>
      <c r="C85">
        <f t="shared" si="12"/>
        <v>9.8463962189837394E-3</v>
      </c>
      <c r="D85">
        <f t="shared" si="18"/>
        <v>21.478534031413606</v>
      </c>
      <c r="F85" s="1">
        <v>45838</v>
      </c>
      <c r="G85">
        <v>405.45</v>
      </c>
      <c r="H85">
        <f t="shared" si="13"/>
        <v>-8.3160083160083997E-3</v>
      </c>
      <c r="I85">
        <f t="shared" si="19"/>
        <v>30.706961840955433</v>
      </c>
      <c r="K85" s="1">
        <v>45838</v>
      </c>
      <c r="L85">
        <v>522.1</v>
      </c>
      <c r="M85">
        <f t="shared" si="14"/>
        <v>-7.655502392344062E-4</v>
      </c>
      <c r="N85">
        <f t="shared" si="20"/>
        <v>15.931560592850918</v>
      </c>
      <c r="P85" s="1">
        <v>45838</v>
      </c>
      <c r="Q85">
        <v>67.319999999999993</v>
      </c>
      <c r="R85">
        <f t="shared" si="15"/>
        <v>4.3235704323570309E-2</v>
      </c>
      <c r="S85">
        <f t="shared" si="21"/>
        <v>27.119125263763632</v>
      </c>
      <c r="U85" s="1">
        <v>45838</v>
      </c>
      <c r="V85">
        <v>104.69</v>
      </c>
      <c r="W85">
        <f t="shared" si="16"/>
        <v>-1.1705843481544501E-2</v>
      </c>
      <c r="X85">
        <f t="shared" si="22"/>
        <v>24.757390089218518</v>
      </c>
      <c r="Z85">
        <f t="shared" si="23"/>
        <v>119.9935718182021</v>
      </c>
      <c r="AA85" s="10">
        <f t="shared" si="17"/>
        <v>6.461829652445461E-3</v>
      </c>
    </row>
    <row r="86" spans="1:27" x14ac:dyDescent="0.3">
      <c r="A86" s="1">
        <v>45839</v>
      </c>
      <c r="B86" s="2">
        <v>1015.7</v>
      </c>
      <c r="C86">
        <f t="shared" si="12"/>
        <v>-9.652886115444485E-3</v>
      </c>
      <c r="D86">
        <f t="shared" si="18"/>
        <v>21.271204188481672</v>
      </c>
      <c r="F86" s="1">
        <v>45839</v>
      </c>
      <c r="G86">
        <v>406.55</v>
      </c>
      <c r="H86">
        <f t="shared" si="13"/>
        <v>2.7130348994944451E-3</v>
      </c>
      <c r="I86">
        <f t="shared" si="19"/>
        <v>30.790270900087386</v>
      </c>
      <c r="K86" s="1">
        <v>45839</v>
      </c>
      <c r="L86">
        <v>527.15</v>
      </c>
      <c r="M86">
        <f t="shared" si="14"/>
        <v>9.672476537061778E-3</v>
      </c>
      <c r="N86">
        <f t="shared" si="20"/>
        <v>16.085658238884044</v>
      </c>
      <c r="P86" s="1">
        <v>45839</v>
      </c>
      <c r="Q86">
        <v>67.72</v>
      </c>
      <c r="R86">
        <f t="shared" si="15"/>
        <v>5.9417706476530855E-3</v>
      </c>
      <c r="S86">
        <f t="shared" si="21"/>
        <v>27.280260886245888</v>
      </c>
      <c r="U86" s="1">
        <v>45839</v>
      </c>
      <c r="V86">
        <v>107.56</v>
      </c>
      <c r="W86">
        <f t="shared" si="16"/>
        <v>2.7414270703983234E-2</v>
      </c>
      <c r="X86">
        <f t="shared" si="22"/>
        <v>25.436095883048466</v>
      </c>
      <c r="Z86">
        <f t="shared" si="23"/>
        <v>120.86349009674746</v>
      </c>
      <c r="AA86" s="10">
        <f t="shared" si="17"/>
        <v>7.2497073415176416E-3</v>
      </c>
    </row>
    <row r="87" spans="1:27" x14ac:dyDescent="0.3">
      <c r="A87" s="1">
        <v>45840</v>
      </c>
      <c r="B87" s="2">
        <v>1019</v>
      </c>
      <c r="C87">
        <f t="shared" si="12"/>
        <v>3.2489908437530316E-3</v>
      </c>
      <c r="D87">
        <f t="shared" si="18"/>
        <v>21.340314136125649</v>
      </c>
      <c r="F87" s="1">
        <v>45840</v>
      </c>
      <c r="G87">
        <v>406.65</v>
      </c>
      <c r="H87">
        <f t="shared" si="13"/>
        <v>2.4597220514073519E-4</v>
      </c>
      <c r="I87">
        <f t="shared" si="19"/>
        <v>30.797844450917559</v>
      </c>
      <c r="K87" s="1">
        <v>45840</v>
      </c>
      <c r="L87">
        <v>518.04999999999995</v>
      </c>
      <c r="M87">
        <f t="shared" si="14"/>
        <v>-1.7262638717632596E-2</v>
      </c>
      <c r="N87">
        <f t="shared" si="20"/>
        <v>15.807977332170879</v>
      </c>
      <c r="P87" s="1">
        <v>45840</v>
      </c>
      <c r="Q87">
        <v>67.2</v>
      </c>
      <c r="R87">
        <f t="shared" si="15"/>
        <v>-7.6786769049024817E-3</v>
      </c>
      <c r="S87">
        <f t="shared" si="21"/>
        <v>27.070784577018959</v>
      </c>
      <c r="U87" s="1">
        <v>45840</v>
      </c>
      <c r="V87">
        <v>105.51</v>
      </c>
      <c r="W87">
        <f t="shared" si="16"/>
        <v>-1.9059129788025261E-2</v>
      </c>
      <c r="X87">
        <f t="shared" si="22"/>
        <v>24.951306030312789</v>
      </c>
      <c r="Z87">
        <f t="shared" si="23"/>
        <v>119.96822652654583</v>
      </c>
      <c r="AA87" s="10">
        <f t="shared" si="17"/>
        <v>-7.4072291763624953E-3</v>
      </c>
    </row>
    <row r="88" spans="1:27" x14ac:dyDescent="0.3">
      <c r="A88" s="1">
        <v>45841</v>
      </c>
      <c r="B88" s="2">
        <v>1008.5</v>
      </c>
      <c r="C88">
        <f t="shared" si="12"/>
        <v>-1.0304219823356232E-2</v>
      </c>
      <c r="D88">
        <f t="shared" si="18"/>
        <v>21.120418848167532</v>
      </c>
      <c r="F88" s="1">
        <v>45841</v>
      </c>
      <c r="G88">
        <v>399.9</v>
      </c>
      <c r="H88">
        <f t="shared" si="13"/>
        <v>-1.6599040944300997E-2</v>
      </c>
      <c r="I88">
        <f t="shared" si="19"/>
        <v>30.286629769880566</v>
      </c>
      <c r="K88" s="1">
        <v>45841</v>
      </c>
      <c r="L88">
        <v>510.35</v>
      </c>
      <c r="M88">
        <f t="shared" si="14"/>
        <v>-1.4863430170832801E-2</v>
      </c>
      <c r="N88">
        <f t="shared" si="20"/>
        <v>15.573016564952049</v>
      </c>
      <c r="P88" s="1">
        <v>45841</v>
      </c>
      <c r="Q88">
        <v>64.790000000000006</v>
      </c>
      <c r="R88">
        <f t="shared" si="15"/>
        <v>-3.5863095238095187E-2</v>
      </c>
      <c r="S88">
        <f t="shared" si="21"/>
        <v>26.099942451563368</v>
      </c>
      <c r="U88" s="1">
        <v>45841</v>
      </c>
      <c r="V88">
        <v>106.43</v>
      </c>
      <c r="W88">
        <f t="shared" si="16"/>
        <v>8.7195526490380214E-3</v>
      </c>
      <c r="X88">
        <f t="shared" si="22"/>
        <v>25.168870256906363</v>
      </c>
      <c r="Z88">
        <f t="shared" si="23"/>
        <v>118.24887789146987</v>
      </c>
      <c r="AA88" s="10">
        <f t="shared" si="17"/>
        <v>-1.433170002471873E-2</v>
      </c>
    </row>
    <row r="89" spans="1:27" x14ac:dyDescent="0.3">
      <c r="A89" s="1">
        <v>45842</v>
      </c>
      <c r="B89">
        <v>996.8</v>
      </c>
      <c r="C89">
        <f t="shared" si="12"/>
        <v>-1.1601388200297517E-2</v>
      </c>
      <c r="D89">
        <f t="shared" si="18"/>
        <v>20.875392670157058</v>
      </c>
      <c r="F89" s="1">
        <v>45842</v>
      </c>
      <c r="G89">
        <v>401</v>
      </c>
      <c r="H89">
        <f t="shared" si="13"/>
        <v>2.7506876719180363E-3</v>
      </c>
      <c r="I89">
        <f t="shared" si="19"/>
        <v>30.369938829012526</v>
      </c>
      <c r="K89" s="1">
        <v>45842</v>
      </c>
      <c r="L89">
        <v>512</v>
      </c>
      <c r="M89">
        <f t="shared" si="14"/>
        <v>3.233075340452586E-3</v>
      </c>
      <c r="N89">
        <f t="shared" si="20"/>
        <v>15.623365300784656</v>
      </c>
      <c r="P89" s="1">
        <v>45842</v>
      </c>
      <c r="Q89">
        <v>65.27</v>
      </c>
      <c r="R89">
        <f t="shared" si="15"/>
        <v>7.4085507022687101E-3</v>
      </c>
      <c r="S89">
        <f t="shared" si="21"/>
        <v>26.293305198542072</v>
      </c>
      <c r="U89" s="1">
        <v>45842</v>
      </c>
      <c r="V89">
        <v>106.55</v>
      </c>
      <c r="W89">
        <f t="shared" si="16"/>
        <v>1.1275016442731404E-3</v>
      </c>
      <c r="X89">
        <f t="shared" si="22"/>
        <v>25.19724819950552</v>
      </c>
      <c r="Z89">
        <f t="shared" si="23"/>
        <v>118.35925019800183</v>
      </c>
      <c r="AA89" s="10">
        <f t="shared" si="17"/>
        <v>9.3338988496149966E-4</v>
      </c>
    </row>
    <row r="90" spans="1:27" x14ac:dyDescent="0.3">
      <c r="A90" s="1">
        <v>45845</v>
      </c>
      <c r="B90">
        <v>991.1</v>
      </c>
      <c r="C90">
        <f t="shared" si="12"/>
        <v>-5.7182985553771385E-3</v>
      </c>
      <c r="D90">
        <f t="shared" si="18"/>
        <v>20.756020942408369</v>
      </c>
      <c r="F90" s="1">
        <v>45845</v>
      </c>
      <c r="G90">
        <v>401.2</v>
      </c>
      <c r="H90">
        <f t="shared" si="13"/>
        <v>4.9875311720695421E-4</v>
      </c>
      <c r="I90">
        <f t="shared" si="19"/>
        <v>30.385085930672879</v>
      </c>
      <c r="K90" s="1">
        <v>45845</v>
      </c>
      <c r="L90">
        <v>509.65</v>
      </c>
      <c r="M90">
        <f t="shared" si="14"/>
        <v>-4.5898437500000444E-3</v>
      </c>
      <c r="N90">
        <f t="shared" si="20"/>
        <v>15.551656495204881</v>
      </c>
      <c r="P90" s="1">
        <v>45845</v>
      </c>
      <c r="Q90">
        <v>65.53</v>
      </c>
      <c r="R90">
        <f t="shared" si="15"/>
        <v>3.983453347632988E-3</v>
      </c>
      <c r="S90">
        <f t="shared" si="21"/>
        <v>26.398043353155543</v>
      </c>
      <c r="U90" s="1">
        <v>45845</v>
      </c>
      <c r="V90">
        <v>106.93</v>
      </c>
      <c r="W90">
        <f t="shared" si="16"/>
        <v>3.5664007508213014E-3</v>
      </c>
      <c r="X90">
        <f t="shared" si="22"/>
        <v>25.28711168440287</v>
      </c>
      <c r="Z90">
        <f t="shared" si="23"/>
        <v>118.37791840584454</v>
      </c>
      <c r="AA90" s="10">
        <f t="shared" si="17"/>
        <v>1.5772495864485592E-4</v>
      </c>
    </row>
    <row r="91" spans="1:27" x14ac:dyDescent="0.3">
      <c r="A91" s="1">
        <v>45846</v>
      </c>
      <c r="B91">
        <v>992</v>
      </c>
      <c r="C91">
        <f t="shared" si="12"/>
        <v>9.0808192916958658E-4</v>
      </c>
      <c r="D91">
        <f t="shared" si="18"/>
        <v>20.774869109947637</v>
      </c>
      <c r="F91" s="1">
        <v>45846</v>
      </c>
      <c r="G91">
        <v>400.85</v>
      </c>
      <c r="H91">
        <f t="shared" si="13"/>
        <v>-8.7238285144557799E-4</v>
      </c>
      <c r="I91">
        <f t="shared" si="19"/>
        <v>30.358578502767262</v>
      </c>
      <c r="K91" s="1">
        <v>45846</v>
      </c>
      <c r="L91">
        <v>513.54999999999995</v>
      </c>
      <c r="M91">
        <f t="shared" si="14"/>
        <v>7.6523104091042434E-3</v>
      </c>
      <c r="N91">
        <f t="shared" si="20"/>
        <v>15.67066259808195</v>
      </c>
      <c r="P91" s="1">
        <v>45846</v>
      </c>
      <c r="Q91">
        <v>65.88</v>
      </c>
      <c r="R91">
        <f t="shared" si="15"/>
        <v>5.341065160994877E-3</v>
      </c>
      <c r="S91">
        <f t="shared" si="21"/>
        <v>26.539037022827515</v>
      </c>
      <c r="U91" s="1">
        <v>45846</v>
      </c>
      <c r="V91">
        <v>107.02</v>
      </c>
      <c r="W91">
        <f t="shared" si="16"/>
        <v>8.4167212194883754E-4</v>
      </c>
      <c r="X91">
        <f t="shared" si="22"/>
        <v>25.308395141352239</v>
      </c>
      <c r="Z91">
        <f t="shared" si="23"/>
        <v>118.6515423749766</v>
      </c>
      <c r="AA91" s="10">
        <f t="shared" si="17"/>
        <v>2.3114443370593207E-3</v>
      </c>
    </row>
    <row r="92" spans="1:27" x14ac:dyDescent="0.3">
      <c r="A92" s="1">
        <v>45847</v>
      </c>
      <c r="B92">
        <v>995.2</v>
      </c>
      <c r="C92">
        <f t="shared" si="12"/>
        <v>3.2258064516129492E-3</v>
      </c>
      <c r="D92">
        <f t="shared" si="18"/>
        <v>20.841884816753918</v>
      </c>
      <c r="F92" s="1">
        <v>45847</v>
      </c>
      <c r="G92">
        <v>400.65</v>
      </c>
      <c r="H92">
        <f t="shared" si="13"/>
        <v>-4.989397530249357E-4</v>
      </c>
      <c r="I92">
        <f t="shared" si="19"/>
        <v>30.343431401106901</v>
      </c>
      <c r="K92" s="1">
        <v>45847</v>
      </c>
      <c r="L92">
        <v>514.9</v>
      </c>
      <c r="M92">
        <f t="shared" si="14"/>
        <v>2.628760588063524E-3</v>
      </c>
      <c r="N92">
        <f t="shared" si="20"/>
        <v>15.711857018308629</v>
      </c>
      <c r="P92" s="1">
        <v>45847</v>
      </c>
      <c r="Q92">
        <v>66.260000000000005</v>
      </c>
      <c r="R92">
        <f t="shared" si="15"/>
        <v>5.7680631451124727E-3</v>
      </c>
      <c r="S92">
        <f t="shared" si="21"/>
        <v>26.692115864185663</v>
      </c>
      <c r="U92" s="1">
        <v>45847</v>
      </c>
      <c r="V92">
        <v>107.37</v>
      </c>
      <c r="W92">
        <f t="shared" si="16"/>
        <v>3.2704167445338117E-3</v>
      </c>
      <c r="X92">
        <f t="shared" si="22"/>
        <v>25.391164140599798</v>
      </c>
      <c r="Z92">
        <f t="shared" si="23"/>
        <v>118.98045324095492</v>
      </c>
      <c r="AA92" s="10">
        <f t="shared" si="17"/>
        <v>2.7720740868151239E-3</v>
      </c>
    </row>
    <row r="93" spans="1:27" x14ac:dyDescent="0.3">
      <c r="A93" s="1">
        <v>45848</v>
      </c>
      <c r="B93">
        <v>995.8</v>
      </c>
      <c r="C93">
        <f t="shared" si="12"/>
        <v>6.028938906751497E-4</v>
      </c>
      <c r="D93">
        <f t="shared" si="18"/>
        <v>20.854450261780098</v>
      </c>
      <c r="F93" s="1">
        <v>45848</v>
      </c>
      <c r="G93">
        <v>399.9</v>
      </c>
      <c r="H93">
        <f t="shared" si="13"/>
        <v>-1.8719580681392737E-3</v>
      </c>
      <c r="I93">
        <f t="shared" si="19"/>
        <v>30.28662976988057</v>
      </c>
      <c r="K93" s="1">
        <v>45848</v>
      </c>
      <c r="L93">
        <v>530.54999999999995</v>
      </c>
      <c r="M93">
        <f t="shared" si="14"/>
        <v>3.0394251310934119E-2</v>
      </c>
      <c r="N93">
        <f t="shared" si="20"/>
        <v>16.189407149084566</v>
      </c>
      <c r="P93" s="1">
        <v>45848</v>
      </c>
      <c r="Q93">
        <v>65.94</v>
      </c>
      <c r="R93">
        <f t="shared" si="15"/>
        <v>-4.8294597041957038E-3</v>
      </c>
      <c r="S93">
        <f t="shared" si="21"/>
        <v>26.563207366199855</v>
      </c>
      <c r="U93" s="1">
        <v>45848</v>
      </c>
      <c r="V93">
        <v>108.24</v>
      </c>
      <c r="W93">
        <f t="shared" si="16"/>
        <v>8.1028220173231837E-3</v>
      </c>
      <c r="X93">
        <f t="shared" si="22"/>
        <v>25.596904224443715</v>
      </c>
      <c r="Z93">
        <f t="shared" si="23"/>
        <v>119.49059877138879</v>
      </c>
      <c r="AA93" s="10">
        <f t="shared" si="17"/>
        <v>4.287641512011664E-3</v>
      </c>
    </row>
    <row r="94" spans="1:27" x14ac:dyDescent="0.3">
      <c r="A94" s="1">
        <v>45849</v>
      </c>
      <c r="B94">
        <v>995.2</v>
      </c>
      <c r="C94">
        <f t="shared" si="12"/>
        <v>-6.0253062864019794E-4</v>
      </c>
      <c r="D94">
        <f t="shared" si="18"/>
        <v>20.841884816753922</v>
      </c>
      <c r="F94" s="1">
        <v>45849</v>
      </c>
      <c r="G94">
        <v>396.85</v>
      </c>
      <c r="H94">
        <f t="shared" si="13"/>
        <v>-7.6269067266815571E-3</v>
      </c>
      <c r="I94">
        <f t="shared" si="19"/>
        <v>30.055636469560156</v>
      </c>
      <c r="K94" s="1">
        <v>45849</v>
      </c>
      <c r="L94">
        <v>523.70000000000005</v>
      </c>
      <c r="M94">
        <f t="shared" si="14"/>
        <v>-1.2911129959475845E-2</v>
      </c>
      <c r="N94">
        <f t="shared" si="20"/>
        <v>15.980383609415869</v>
      </c>
      <c r="P94" s="1">
        <v>45849</v>
      </c>
      <c r="Q94">
        <v>65.97</v>
      </c>
      <c r="R94">
        <f t="shared" si="15"/>
        <v>4.5495905368518559E-4</v>
      </c>
      <c r="S94">
        <f t="shared" si="21"/>
        <v>26.575292537886021</v>
      </c>
      <c r="U94" s="1">
        <v>45849</v>
      </c>
      <c r="V94">
        <v>112.18</v>
      </c>
      <c r="W94">
        <f t="shared" si="16"/>
        <v>3.6400591278640169E-2</v>
      </c>
      <c r="X94">
        <f t="shared" si="22"/>
        <v>26.528646673116192</v>
      </c>
      <c r="Z94">
        <f t="shared" si="23"/>
        <v>119.98184410673215</v>
      </c>
      <c r="AA94" s="10">
        <f t="shared" si="17"/>
        <v>4.1111630571306623E-3</v>
      </c>
    </row>
    <row r="95" spans="1:27" x14ac:dyDescent="0.3">
      <c r="A95" s="1">
        <v>45852</v>
      </c>
      <c r="B95" s="2">
        <v>1025.9000000000001</v>
      </c>
      <c r="C95">
        <f t="shared" si="12"/>
        <v>3.0848070739549885E-2</v>
      </c>
      <c r="D95">
        <f t="shared" si="18"/>
        <v>21.484816753926701</v>
      </c>
      <c r="F95" s="1">
        <v>45852</v>
      </c>
      <c r="G95">
        <v>402.55</v>
      </c>
      <c r="H95">
        <f t="shared" si="13"/>
        <v>1.4363109487211763E-2</v>
      </c>
      <c r="I95">
        <f t="shared" si="19"/>
        <v>30.487328866880286</v>
      </c>
      <c r="K95" s="1">
        <v>45852</v>
      </c>
      <c r="L95">
        <v>530.5</v>
      </c>
      <c r="M95">
        <f t="shared" si="14"/>
        <v>1.2984533129654294E-2</v>
      </c>
      <c r="N95">
        <f t="shared" si="20"/>
        <v>16.187881429816915</v>
      </c>
      <c r="P95" s="1">
        <v>45852</v>
      </c>
      <c r="Q95">
        <v>65.92</v>
      </c>
      <c r="R95">
        <f t="shared" si="15"/>
        <v>-7.5792026678789086E-4</v>
      </c>
      <c r="S95">
        <f t="shared" si="21"/>
        <v>26.55515058507574</v>
      </c>
      <c r="U95" s="1">
        <v>45852</v>
      </c>
      <c r="V95">
        <v>110.01</v>
      </c>
      <c r="W95">
        <f t="shared" si="16"/>
        <v>-1.9343911570689976E-2</v>
      </c>
      <c r="X95">
        <f t="shared" si="22"/>
        <v>26.015478877781355</v>
      </c>
      <c r="Z95">
        <f t="shared" si="23"/>
        <v>120.73065651348099</v>
      </c>
      <c r="AA95" s="10">
        <f t="shared" si="17"/>
        <v>6.2410476545327054E-3</v>
      </c>
    </row>
    <row r="96" spans="1:27" x14ac:dyDescent="0.3">
      <c r="A96" s="1">
        <v>45853</v>
      </c>
      <c r="B96" s="2">
        <v>1033.0999999999999</v>
      </c>
      <c r="C96">
        <f t="shared" si="12"/>
        <v>7.0182278974557141E-3</v>
      </c>
      <c r="D96">
        <f t="shared" si="18"/>
        <v>21.635602094240834</v>
      </c>
      <c r="F96" s="1">
        <v>45853</v>
      </c>
      <c r="G96">
        <v>403.9</v>
      </c>
      <c r="H96">
        <f t="shared" si="13"/>
        <v>3.3536206682398852E-3</v>
      </c>
      <c r="I96">
        <f t="shared" si="19"/>
        <v>30.589571803087683</v>
      </c>
      <c r="K96" s="1">
        <v>45853</v>
      </c>
      <c r="L96">
        <v>528.95000000000005</v>
      </c>
      <c r="M96">
        <f t="shared" si="14"/>
        <v>-2.9217719132892638E-3</v>
      </c>
      <c r="N96">
        <f t="shared" si="20"/>
        <v>16.140584132519621</v>
      </c>
      <c r="P96" s="1">
        <v>45853</v>
      </c>
      <c r="Q96">
        <v>65.44</v>
      </c>
      <c r="R96">
        <f t="shared" si="15"/>
        <v>-7.2815533980583125E-3</v>
      </c>
      <c r="S96">
        <f t="shared" si="21"/>
        <v>26.36178783809703</v>
      </c>
      <c r="U96" s="1">
        <v>45853</v>
      </c>
      <c r="V96">
        <v>110.09</v>
      </c>
      <c r="W96">
        <f t="shared" si="16"/>
        <v>7.2720661758020441E-4</v>
      </c>
      <c r="X96">
        <f t="shared" si="22"/>
        <v>26.034397506180799</v>
      </c>
      <c r="Z96">
        <f t="shared" si="23"/>
        <v>120.76194337412596</v>
      </c>
      <c r="AA96" s="10">
        <f t="shared" si="17"/>
        <v>2.5914594974030258E-4</v>
      </c>
    </row>
    <row r="97" spans="1:27" x14ac:dyDescent="0.3">
      <c r="A97" s="1">
        <v>45854</v>
      </c>
      <c r="B97" s="2">
        <v>1038.5999999999999</v>
      </c>
      <c r="C97">
        <f t="shared" si="12"/>
        <v>5.323782789662182E-3</v>
      </c>
      <c r="D97">
        <f t="shared" si="18"/>
        <v>21.750785340314131</v>
      </c>
      <c r="F97" s="1">
        <v>45854</v>
      </c>
      <c r="G97">
        <v>414.7</v>
      </c>
      <c r="H97">
        <f t="shared" si="13"/>
        <v>2.6739291903936646E-2</v>
      </c>
      <c r="I97">
        <f t="shared" si="19"/>
        <v>31.407515292746876</v>
      </c>
      <c r="K97" s="1">
        <v>45854</v>
      </c>
      <c r="L97">
        <v>531.75</v>
      </c>
      <c r="M97">
        <f t="shared" si="14"/>
        <v>5.293506002457613E-3</v>
      </c>
      <c r="N97">
        <f t="shared" si="20"/>
        <v>16.226024411508288</v>
      </c>
      <c r="P97" s="1">
        <v>45854</v>
      </c>
      <c r="Q97">
        <v>67.17</v>
      </c>
      <c r="R97">
        <f t="shared" si="15"/>
        <v>2.6436430317848474E-2</v>
      </c>
      <c r="S97">
        <f t="shared" si="21"/>
        <v>27.058699405332785</v>
      </c>
      <c r="U97" s="1">
        <v>45854</v>
      </c>
      <c r="V97">
        <v>111.98</v>
      </c>
      <c r="W97">
        <f t="shared" si="16"/>
        <v>1.716777182305387E-2</v>
      </c>
      <c r="X97">
        <f t="shared" si="22"/>
        <v>26.481350102117592</v>
      </c>
      <c r="Z97">
        <f t="shared" si="23"/>
        <v>122.92437455201969</v>
      </c>
      <c r="AA97" s="10">
        <f t="shared" si="17"/>
        <v>1.7906561599413839E-2</v>
      </c>
    </row>
    <row r="98" spans="1:27" x14ac:dyDescent="0.3">
      <c r="A98" s="1">
        <v>45855</v>
      </c>
      <c r="B98" s="2">
        <v>1050.0999999999999</v>
      </c>
      <c r="C98">
        <f t="shared" si="12"/>
        <v>1.107259772771038E-2</v>
      </c>
      <c r="D98">
        <f t="shared" si="18"/>
        <v>21.991623036649209</v>
      </c>
      <c r="F98" s="1">
        <v>45855</v>
      </c>
      <c r="G98">
        <v>413.45</v>
      </c>
      <c r="H98">
        <f t="shared" si="13"/>
        <v>-3.0142271521581866E-3</v>
      </c>
      <c r="I98">
        <f t="shared" si="19"/>
        <v>31.312845907369656</v>
      </c>
      <c r="K98" s="1">
        <v>45855</v>
      </c>
      <c r="L98">
        <v>531.6</v>
      </c>
      <c r="M98">
        <f t="shared" si="14"/>
        <v>-2.8208744710856093E-4</v>
      </c>
      <c r="N98">
        <f t="shared" si="20"/>
        <v>16.221447253705325</v>
      </c>
      <c r="P98" s="1">
        <v>45855</v>
      </c>
      <c r="Q98">
        <v>67.03</v>
      </c>
      <c r="R98">
        <f t="shared" si="15"/>
        <v>-2.0842638082477381E-3</v>
      </c>
      <c r="S98">
        <f t="shared" si="21"/>
        <v>27.002301937463994</v>
      </c>
      <c r="U98" s="1">
        <v>45855</v>
      </c>
      <c r="V98">
        <v>112</v>
      </c>
      <c r="W98">
        <f t="shared" si="16"/>
        <v>1.7860332202175407E-4</v>
      </c>
      <c r="X98">
        <f t="shared" si="22"/>
        <v>26.48607975921745</v>
      </c>
      <c r="Z98">
        <f t="shared" si="23"/>
        <v>123.01429789440562</v>
      </c>
      <c r="AA98" s="10">
        <f t="shared" si="17"/>
        <v>7.3153386147906119E-4</v>
      </c>
    </row>
    <row r="99" spans="1:27" x14ac:dyDescent="0.3">
      <c r="A99" s="1">
        <v>45856</v>
      </c>
      <c r="B99" s="2">
        <v>1030.2</v>
      </c>
      <c r="C99">
        <f t="shared" si="12"/>
        <v>-1.8950576135606006E-2</v>
      </c>
      <c r="D99">
        <f t="shared" si="18"/>
        <v>21.574869109947642</v>
      </c>
      <c r="F99" s="1">
        <v>45856</v>
      </c>
      <c r="G99">
        <v>407.9</v>
      </c>
      <c r="H99">
        <f t="shared" si="13"/>
        <v>-1.3423630426895662E-2</v>
      </c>
      <c r="I99">
        <f t="shared" si="19"/>
        <v>30.892513836294793</v>
      </c>
      <c r="K99" s="1">
        <v>45856</v>
      </c>
      <c r="L99">
        <v>530.4</v>
      </c>
      <c r="M99">
        <f t="shared" si="14"/>
        <v>-2.2573363431152094E-3</v>
      </c>
      <c r="N99">
        <f t="shared" si="20"/>
        <v>16.18482999128161</v>
      </c>
      <c r="P99" s="1">
        <v>45856</v>
      </c>
      <c r="Q99">
        <v>66.260000000000005</v>
      </c>
      <c r="R99">
        <f t="shared" si="15"/>
        <v>-1.1487393704311443E-2</v>
      </c>
      <c r="S99">
        <f t="shared" si="21"/>
        <v>26.692115864185656</v>
      </c>
      <c r="U99" s="1">
        <v>45856</v>
      </c>
      <c r="V99">
        <v>110.66</v>
      </c>
      <c r="W99">
        <f t="shared" si="16"/>
        <v>-1.1964285714285745E-2</v>
      </c>
      <c r="X99">
        <f t="shared" si="22"/>
        <v>26.16919273352681</v>
      </c>
      <c r="Z99">
        <f t="shared" si="23"/>
        <v>121.51352153523651</v>
      </c>
      <c r="AA99" s="10">
        <f t="shared" si="17"/>
        <v>-1.2200015647427898E-2</v>
      </c>
    </row>
    <row r="100" spans="1:27" x14ac:dyDescent="0.3">
      <c r="A100" s="1">
        <v>45859</v>
      </c>
      <c r="B100" s="2">
        <v>1036.5999999999999</v>
      </c>
      <c r="C100">
        <f t="shared" si="12"/>
        <v>6.2123859444766678E-3</v>
      </c>
      <c r="D100">
        <f t="shared" si="18"/>
        <v>21.708900523560207</v>
      </c>
      <c r="F100" s="1">
        <v>45859</v>
      </c>
      <c r="G100">
        <v>401.85</v>
      </c>
      <c r="H100">
        <f t="shared" si="13"/>
        <v>-1.4832066683010431E-2</v>
      </c>
      <c r="I100">
        <f t="shared" si="19"/>
        <v>30.434314011069048</v>
      </c>
      <c r="K100" s="1">
        <v>45859</v>
      </c>
      <c r="L100">
        <v>531.70000000000005</v>
      </c>
      <c r="M100">
        <f t="shared" si="14"/>
        <v>2.4509803921569915E-3</v>
      </c>
      <c r="N100">
        <f t="shared" si="20"/>
        <v>16.224498692240637</v>
      </c>
      <c r="P100" s="1">
        <v>45859</v>
      </c>
      <c r="Q100">
        <v>65.06</v>
      </c>
      <c r="R100">
        <f t="shared" si="15"/>
        <v>-1.8110473890733517E-2</v>
      </c>
      <c r="S100">
        <f t="shared" si="21"/>
        <v>26.208708996738888</v>
      </c>
      <c r="U100" s="1">
        <v>45859</v>
      </c>
      <c r="V100">
        <v>109.53</v>
      </c>
      <c r="W100">
        <f t="shared" si="16"/>
        <v>-1.0211458521597647E-2</v>
      </c>
      <c r="X100">
        <f t="shared" si="22"/>
        <v>25.901967107384706</v>
      </c>
      <c r="Z100">
        <f t="shared" si="23"/>
        <v>120.47838933099349</v>
      </c>
      <c r="AA100" s="10">
        <f t="shared" si="17"/>
        <v>-8.5186585917752522E-3</v>
      </c>
    </row>
    <row r="101" spans="1:27" x14ac:dyDescent="0.3">
      <c r="A101" s="1">
        <v>45860</v>
      </c>
      <c r="B101" s="2">
        <v>1013.7</v>
      </c>
      <c r="C101">
        <f t="shared" si="12"/>
        <v>-2.2091452826548202E-2</v>
      </c>
      <c r="D101">
        <f t="shared" si="18"/>
        <v>21.229319371727748</v>
      </c>
      <c r="F101" s="1">
        <v>45860</v>
      </c>
      <c r="G101">
        <v>399.15</v>
      </c>
      <c r="H101">
        <f t="shared" si="13"/>
        <v>-6.7189249720045916E-3</v>
      </c>
      <c r="I101">
        <f t="shared" si="19"/>
        <v>30.229828138654248</v>
      </c>
      <c r="K101" s="1">
        <v>45860</v>
      </c>
      <c r="L101">
        <v>531.54999999999995</v>
      </c>
      <c r="M101">
        <f t="shared" si="14"/>
        <v>-2.8211397404568543E-4</v>
      </c>
      <c r="N101">
        <f t="shared" si="20"/>
        <v>16.21992153443767</v>
      </c>
      <c r="P101" s="1">
        <v>45860</v>
      </c>
      <c r="Q101">
        <v>66.42</v>
      </c>
      <c r="R101">
        <f t="shared" si="15"/>
        <v>2.0903781125115269E-2</v>
      </c>
      <c r="S101">
        <f t="shared" si="21"/>
        <v>26.756570113178562</v>
      </c>
      <c r="U101" s="1">
        <v>45860</v>
      </c>
      <c r="V101">
        <v>108.43</v>
      </c>
      <c r="W101">
        <f t="shared" si="16"/>
        <v>-1.0042910618095447E-2</v>
      </c>
      <c r="X101">
        <f t="shared" si="22"/>
        <v>25.641835966892394</v>
      </c>
      <c r="Z101">
        <f t="shared" si="23"/>
        <v>120.07747512489061</v>
      </c>
      <c r="AA101" s="10">
        <f t="shared" si="17"/>
        <v>-3.3276856399652166E-3</v>
      </c>
    </row>
    <row r="102" spans="1:27" x14ac:dyDescent="0.3">
      <c r="A102" s="1">
        <v>45861</v>
      </c>
      <c r="B102" s="2">
        <v>1033.9000000000001</v>
      </c>
      <c r="C102">
        <f t="shared" si="12"/>
        <v>1.9927000098648558E-2</v>
      </c>
      <c r="D102">
        <f t="shared" si="18"/>
        <v>21.652356020942406</v>
      </c>
      <c r="F102" s="1">
        <v>45861</v>
      </c>
      <c r="G102">
        <v>402.5</v>
      </c>
      <c r="H102">
        <f t="shared" si="13"/>
        <v>8.3928347738945839E-3</v>
      </c>
      <c r="I102">
        <f t="shared" si="19"/>
        <v>30.483542091465203</v>
      </c>
      <c r="K102" s="1">
        <v>45861</v>
      </c>
      <c r="L102">
        <v>533.85</v>
      </c>
      <c r="M102">
        <f t="shared" si="14"/>
        <v>4.3269683002541033E-3</v>
      </c>
      <c r="N102">
        <f t="shared" si="20"/>
        <v>16.290104620749791</v>
      </c>
      <c r="P102" s="1">
        <v>45861</v>
      </c>
      <c r="Q102">
        <v>66.58</v>
      </c>
      <c r="R102">
        <f t="shared" si="15"/>
        <v>2.4089129780186175E-3</v>
      </c>
      <c r="S102">
        <f t="shared" si="21"/>
        <v>26.821024362171464</v>
      </c>
      <c r="U102" s="1">
        <v>45861</v>
      </c>
      <c r="V102">
        <v>107.96</v>
      </c>
      <c r="W102">
        <f t="shared" si="16"/>
        <v>-4.3345937471180769E-3</v>
      </c>
      <c r="X102">
        <f t="shared" si="22"/>
        <v>25.530689025045675</v>
      </c>
      <c r="Z102">
        <f t="shared" si="23"/>
        <v>120.77771612037454</v>
      </c>
      <c r="AA102" s="10">
        <f t="shared" si="17"/>
        <v>5.8315766113137268E-3</v>
      </c>
    </row>
    <row r="103" spans="1:27" x14ac:dyDescent="0.3">
      <c r="A103" s="1">
        <v>45862</v>
      </c>
      <c r="B103" s="2">
        <v>1020.7</v>
      </c>
      <c r="C103">
        <f t="shared" si="12"/>
        <v>-1.2767192184930887E-2</v>
      </c>
      <c r="D103">
        <f t="shared" si="18"/>
        <v>21.375916230366489</v>
      </c>
      <c r="F103" s="1">
        <v>45862</v>
      </c>
      <c r="G103">
        <v>400.7</v>
      </c>
      <c r="H103">
        <f t="shared" si="13"/>
        <v>-4.4720496894410221E-3</v>
      </c>
      <c r="I103">
        <f t="shared" si="19"/>
        <v>30.347218176522002</v>
      </c>
      <c r="K103" s="1">
        <v>45862</v>
      </c>
      <c r="L103">
        <v>532.54999999999995</v>
      </c>
      <c r="M103">
        <f t="shared" si="14"/>
        <v>-2.4351409571978424E-3</v>
      </c>
      <c r="N103">
        <f t="shared" si="20"/>
        <v>16.250435919790764</v>
      </c>
      <c r="P103" s="1">
        <v>45862</v>
      </c>
      <c r="Q103">
        <v>65.98</v>
      </c>
      <c r="R103">
        <f t="shared" si="15"/>
        <v>-9.0117152297986541E-3</v>
      </c>
      <c r="S103">
        <f t="shared" si="21"/>
        <v>26.579320928448084</v>
      </c>
      <c r="U103" s="1">
        <v>45862</v>
      </c>
      <c r="V103">
        <v>106.93</v>
      </c>
      <c r="W103">
        <f t="shared" si="16"/>
        <v>-9.5405705816968035E-3</v>
      </c>
      <c r="X103">
        <f t="shared" si="22"/>
        <v>25.287111684402877</v>
      </c>
      <c r="Z103">
        <f t="shared" si="23"/>
        <v>119.84000293953021</v>
      </c>
      <c r="AA103" s="10">
        <f t="shared" si="17"/>
        <v>-7.763958542731042E-3</v>
      </c>
    </row>
    <row r="104" spans="1:27" x14ac:dyDescent="0.3">
      <c r="A104" s="1">
        <v>45863</v>
      </c>
      <c r="B104">
        <v>975.9</v>
      </c>
      <c r="C104">
        <f t="shared" si="12"/>
        <v>-4.3891447046144866E-2</v>
      </c>
      <c r="D104">
        <f t="shared" si="18"/>
        <v>20.437696335078527</v>
      </c>
      <c r="F104" s="1">
        <v>45863</v>
      </c>
      <c r="G104">
        <v>395.35</v>
      </c>
      <c r="H104">
        <f t="shared" si="13"/>
        <v>-1.3351634639380999E-2</v>
      </c>
      <c r="I104">
        <f t="shared" si="19"/>
        <v>29.942033207107496</v>
      </c>
      <c r="K104" s="1">
        <v>45863</v>
      </c>
      <c r="L104">
        <v>518.1</v>
      </c>
      <c r="M104">
        <f t="shared" si="14"/>
        <v>-2.7133602478640377E-2</v>
      </c>
      <c r="N104">
        <f t="shared" si="20"/>
        <v>15.809503051438542</v>
      </c>
      <c r="P104" s="1">
        <v>45863</v>
      </c>
      <c r="Q104">
        <v>65.319999999999993</v>
      </c>
      <c r="R104">
        <f t="shared" si="15"/>
        <v>-1.0003031221582461E-2</v>
      </c>
      <c r="S104">
        <f t="shared" si="21"/>
        <v>26.31344715135236</v>
      </c>
      <c r="U104" s="1">
        <v>45863</v>
      </c>
      <c r="V104">
        <v>105.78</v>
      </c>
      <c r="W104">
        <f t="shared" si="16"/>
        <v>-1.0754699336014268E-2</v>
      </c>
      <c r="X104">
        <f t="shared" si="22"/>
        <v>25.015156401160912</v>
      </c>
      <c r="Z104">
        <f t="shared" si="23"/>
        <v>117.51783614613784</v>
      </c>
      <c r="AA104" s="10">
        <f t="shared" si="17"/>
        <v>-1.9377225771298634E-2</v>
      </c>
    </row>
    <row r="105" spans="1:27" x14ac:dyDescent="0.3">
      <c r="A105" s="1">
        <v>45866</v>
      </c>
      <c r="B105" s="2">
        <v>1003.9</v>
      </c>
      <c r="C105">
        <f t="shared" si="12"/>
        <v>2.8691464289373914E-2</v>
      </c>
      <c r="D105">
        <f t="shared" si="18"/>
        <v>21.024083769633499</v>
      </c>
      <c r="F105" s="1">
        <v>45866</v>
      </c>
      <c r="G105">
        <v>399.2</v>
      </c>
      <c r="H105">
        <f t="shared" si="13"/>
        <v>9.7382066523332891E-3</v>
      </c>
      <c r="I105">
        <f t="shared" si="19"/>
        <v>30.233614914069335</v>
      </c>
      <c r="K105" s="1">
        <v>45866</v>
      </c>
      <c r="L105">
        <v>520.1</v>
      </c>
      <c r="M105">
        <f t="shared" si="14"/>
        <v>3.8602586373287008E-3</v>
      </c>
      <c r="N105">
        <f t="shared" si="20"/>
        <v>15.870531822144731</v>
      </c>
      <c r="P105" s="1">
        <v>45866</v>
      </c>
      <c r="Q105">
        <v>63.62</v>
      </c>
      <c r="R105">
        <f t="shared" si="15"/>
        <v>-2.6025719534598837E-2</v>
      </c>
      <c r="S105">
        <f t="shared" si="21"/>
        <v>25.628620755802775</v>
      </c>
      <c r="U105" s="1">
        <v>45866</v>
      </c>
      <c r="V105">
        <v>107.28</v>
      </c>
      <c r="W105">
        <f t="shared" si="16"/>
        <v>1.4180374361883153E-2</v>
      </c>
      <c r="X105">
        <f t="shared" si="22"/>
        <v>25.369880683650429</v>
      </c>
      <c r="Z105">
        <f t="shared" si="23"/>
        <v>118.12673194530078</v>
      </c>
      <c r="AA105" s="10">
        <f t="shared" si="17"/>
        <v>5.1813054012137538E-3</v>
      </c>
    </row>
    <row r="106" spans="1:27" x14ac:dyDescent="0.3">
      <c r="A106" s="1">
        <v>45867</v>
      </c>
      <c r="B106" s="2">
        <v>1015.6</v>
      </c>
      <c r="C106">
        <f t="shared" si="12"/>
        <v>1.1654547265663956E-2</v>
      </c>
      <c r="D106">
        <f t="shared" si="18"/>
        <v>21.269109947643972</v>
      </c>
      <c r="F106" s="1">
        <v>45867</v>
      </c>
      <c r="G106">
        <v>399.85</v>
      </c>
      <c r="H106">
        <f t="shared" si="13"/>
        <v>1.6282565130261376E-3</v>
      </c>
      <c r="I106">
        <f t="shared" si="19"/>
        <v>30.282842994465494</v>
      </c>
      <c r="K106" s="1">
        <v>45867</v>
      </c>
      <c r="L106">
        <v>524.79999999999995</v>
      </c>
      <c r="M106">
        <f t="shared" si="14"/>
        <v>9.0367237069792963E-3</v>
      </c>
      <c r="N106">
        <f t="shared" si="20"/>
        <v>16.013949433304276</v>
      </c>
      <c r="P106" s="1">
        <v>45867</v>
      </c>
      <c r="Q106">
        <v>60.85</v>
      </c>
      <c r="R106">
        <f t="shared" si="15"/>
        <v>-4.3539767368751904E-2</v>
      </c>
      <c r="S106">
        <f t="shared" si="21"/>
        <v>24.512756570113158</v>
      </c>
      <c r="U106" s="1">
        <v>45867</v>
      </c>
      <c r="V106">
        <v>105.97</v>
      </c>
      <c r="W106">
        <f t="shared" si="16"/>
        <v>-1.2211036539895621E-2</v>
      </c>
      <c r="X106">
        <f t="shared" si="22"/>
        <v>25.06008814360958</v>
      </c>
      <c r="Z106">
        <f t="shared" si="23"/>
        <v>117.13874708913647</v>
      </c>
      <c r="AA106" s="10">
        <f t="shared" si="17"/>
        <v>-8.3637703328810487E-3</v>
      </c>
    </row>
    <row r="107" spans="1:27" x14ac:dyDescent="0.3">
      <c r="A107" s="1">
        <v>45868</v>
      </c>
      <c r="B107" s="2">
        <v>1009.7</v>
      </c>
      <c r="C107">
        <f t="shared" si="12"/>
        <v>-5.8093737692004504E-3</v>
      </c>
      <c r="D107">
        <f t="shared" si="18"/>
        <v>21.145549738219888</v>
      </c>
      <c r="F107" s="1">
        <v>45868</v>
      </c>
      <c r="G107">
        <v>401.35</v>
      </c>
      <c r="H107">
        <f t="shared" si="13"/>
        <v>3.7514067775415777E-3</v>
      </c>
      <c r="I107">
        <f t="shared" si="19"/>
        <v>30.396446256918157</v>
      </c>
      <c r="K107" s="1">
        <v>45868</v>
      </c>
      <c r="L107">
        <v>526.5</v>
      </c>
      <c r="M107">
        <f t="shared" si="14"/>
        <v>3.2393292682927699E-3</v>
      </c>
      <c r="N107">
        <f t="shared" si="20"/>
        <v>16.065823888404541</v>
      </c>
      <c r="P107" s="1">
        <v>45868</v>
      </c>
      <c r="Q107">
        <v>61.79</v>
      </c>
      <c r="R107">
        <f t="shared" si="15"/>
        <v>1.5447822514379584E-2</v>
      </c>
      <c r="S107">
        <f t="shared" si="21"/>
        <v>24.891425282946457</v>
      </c>
      <c r="U107" s="1">
        <v>45868</v>
      </c>
      <c r="V107">
        <v>105.96</v>
      </c>
      <c r="W107">
        <f t="shared" si="16"/>
        <v>-9.4366330093470946E-5</v>
      </c>
      <c r="X107">
        <f t="shared" si="22"/>
        <v>25.057723315059647</v>
      </c>
      <c r="Z107">
        <f t="shared" si="23"/>
        <v>117.55696848154868</v>
      </c>
      <c r="AA107" s="10">
        <f t="shared" si="17"/>
        <v>3.5703078853486225E-3</v>
      </c>
    </row>
    <row r="108" spans="1:27" x14ac:dyDescent="0.3">
      <c r="A108" s="1">
        <v>45869</v>
      </c>
      <c r="B108">
        <v>984.7</v>
      </c>
      <c r="C108">
        <f t="shared" si="12"/>
        <v>-2.475982965237199E-2</v>
      </c>
      <c r="D108">
        <f t="shared" si="18"/>
        <v>20.621989528795805</v>
      </c>
      <c r="F108" s="1">
        <v>45869</v>
      </c>
      <c r="G108">
        <v>397.75</v>
      </c>
      <c r="H108">
        <f t="shared" si="13"/>
        <v>-8.9697271707986116E-3</v>
      </c>
      <c r="I108">
        <f t="shared" si="19"/>
        <v>30.123798427031758</v>
      </c>
      <c r="K108" s="1">
        <v>45869</v>
      </c>
      <c r="L108">
        <v>515.04999999999995</v>
      </c>
      <c r="M108">
        <f t="shared" si="14"/>
        <v>-2.1747388414055168E-2</v>
      </c>
      <c r="N108">
        <f t="shared" si="20"/>
        <v>15.716434176111601</v>
      </c>
      <c r="P108" s="1">
        <v>45869</v>
      </c>
      <c r="Q108">
        <v>61.21</v>
      </c>
      <c r="R108">
        <f t="shared" si="15"/>
        <v>-9.3866321411231312E-3</v>
      </c>
      <c r="S108">
        <f t="shared" si="21"/>
        <v>24.657778630347188</v>
      </c>
      <c r="U108" s="1">
        <v>45869</v>
      </c>
      <c r="V108">
        <v>104.27</v>
      </c>
      <c r="W108">
        <f t="shared" si="16"/>
        <v>-1.5949414873537165E-2</v>
      </c>
      <c r="X108">
        <f t="shared" si="22"/>
        <v>24.658067290121455</v>
      </c>
      <c r="Z108">
        <f t="shared" si="23"/>
        <v>115.77806805240782</v>
      </c>
      <c r="AA108" s="10">
        <f t="shared" si="17"/>
        <v>-1.513224143254488E-2</v>
      </c>
    </row>
    <row r="109" spans="1:27" x14ac:dyDescent="0.3">
      <c r="A109" s="1">
        <v>45870</v>
      </c>
      <c r="B109">
        <v>972.6</v>
      </c>
      <c r="C109">
        <f t="shared" si="12"/>
        <v>-1.2288006499441477E-2</v>
      </c>
      <c r="D109">
        <f t="shared" si="18"/>
        <v>20.368586387434547</v>
      </c>
      <c r="F109" s="1">
        <v>45870</v>
      </c>
      <c r="G109">
        <v>389.3</v>
      </c>
      <c r="H109">
        <f t="shared" si="13"/>
        <v>-2.1244500314267726E-2</v>
      </c>
      <c r="I109">
        <f t="shared" si="19"/>
        <v>29.483833381881745</v>
      </c>
      <c r="K109" s="1">
        <v>45870</v>
      </c>
      <c r="L109">
        <v>511.65</v>
      </c>
      <c r="M109">
        <f t="shared" si="14"/>
        <v>-6.6013008445781531E-3</v>
      </c>
      <c r="N109">
        <f t="shared" si="20"/>
        <v>15.612685265911079</v>
      </c>
      <c r="P109" s="1">
        <v>45870</v>
      </c>
      <c r="Q109">
        <v>61.6</v>
      </c>
      <c r="R109">
        <f t="shared" si="15"/>
        <v>6.3715079235419142E-3</v>
      </c>
      <c r="S109">
        <f t="shared" si="21"/>
        <v>24.814885862267392</v>
      </c>
      <c r="U109" s="1">
        <v>45870</v>
      </c>
      <c r="V109">
        <v>104.53</v>
      </c>
      <c r="W109">
        <f t="shared" si="16"/>
        <v>2.4935264217896339E-3</v>
      </c>
      <c r="X109">
        <f t="shared" si="22"/>
        <v>24.719552832419637</v>
      </c>
      <c r="Z109">
        <f t="shared" si="23"/>
        <v>114.99954372991441</v>
      </c>
      <c r="AA109" s="10">
        <f t="shared" si="17"/>
        <v>-6.7242815119440413E-3</v>
      </c>
    </row>
    <row r="110" spans="1:27" x14ac:dyDescent="0.3">
      <c r="A110" s="1">
        <v>45873</v>
      </c>
      <c r="B110">
        <v>989.8</v>
      </c>
      <c r="C110">
        <f t="shared" si="12"/>
        <v>1.7684556857906573E-2</v>
      </c>
      <c r="D110">
        <f t="shared" si="18"/>
        <v>20.728795811518314</v>
      </c>
      <c r="F110" s="1">
        <v>45873</v>
      </c>
      <c r="G110">
        <v>387.1</v>
      </c>
      <c r="H110">
        <f t="shared" si="13"/>
        <v>-5.6511687644489814E-3</v>
      </c>
      <c r="I110">
        <f t="shared" si="19"/>
        <v>29.317215263617836</v>
      </c>
      <c r="K110" s="1">
        <v>45873</v>
      </c>
      <c r="L110">
        <v>537.79999999999995</v>
      </c>
      <c r="M110">
        <f t="shared" si="14"/>
        <v>5.1109156650053708E-2</v>
      </c>
      <c r="N110">
        <f t="shared" si="20"/>
        <v>16.410636442894514</v>
      </c>
      <c r="P110" s="1">
        <v>45873</v>
      </c>
      <c r="Q110">
        <v>65.95</v>
      </c>
      <c r="R110">
        <f t="shared" si="15"/>
        <v>7.0616883116883133E-2</v>
      </c>
      <c r="S110">
        <f t="shared" si="21"/>
        <v>26.567235756761924</v>
      </c>
      <c r="U110" s="1">
        <v>45873</v>
      </c>
      <c r="V110">
        <v>105.09</v>
      </c>
      <c r="W110">
        <f t="shared" si="16"/>
        <v>5.3573136898498255E-3</v>
      </c>
      <c r="X110">
        <f t="shared" si="22"/>
        <v>24.851983231215726</v>
      </c>
      <c r="Z110">
        <f t="shared" si="23"/>
        <v>117.87586650600831</v>
      </c>
      <c r="AA110" s="10">
        <f t="shared" si="17"/>
        <v>2.5011601635995806E-2</v>
      </c>
    </row>
    <row r="111" spans="1:27" x14ac:dyDescent="0.3">
      <c r="A111" s="1">
        <v>45874</v>
      </c>
      <c r="B111">
        <v>971.75</v>
      </c>
      <c r="C111">
        <f t="shared" si="12"/>
        <v>-1.8236007274196761E-2</v>
      </c>
      <c r="D111">
        <f t="shared" si="18"/>
        <v>20.350785340314129</v>
      </c>
      <c r="F111" s="1">
        <v>45874</v>
      </c>
      <c r="G111">
        <v>385.55</v>
      </c>
      <c r="H111">
        <f t="shared" si="13"/>
        <v>-4.0041332988892051E-3</v>
      </c>
      <c r="I111">
        <f t="shared" si="19"/>
        <v>29.199825225750082</v>
      </c>
      <c r="K111" s="1">
        <v>45874</v>
      </c>
      <c r="L111">
        <v>537.70000000000005</v>
      </c>
      <c r="M111">
        <f t="shared" si="14"/>
        <v>-1.8594272963910202E-4</v>
      </c>
      <c r="N111">
        <f t="shared" si="20"/>
        <v>16.407585004359206</v>
      </c>
      <c r="P111" s="1">
        <v>45874</v>
      </c>
      <c r="Q111">
        <v>65</v>
      </c>
      <c r="R111">
        <f t="shared" si="15"/>
        <v>-1.4404852160727866E-2</v>
      </c>
      <c r="S111">
        <f t="shared" si="21"/>
        <v>26.184538653366566</v>
      </c>
      <c r="U111" s="1">
        <v>45874</v>
      </c>
      <c r="V111">
        <v>105.07</v>
      </c>
      <c r="W111">
        <f t="shared" si="16"/>
        <v>-1.9031306499200904E-4</v>
      </c>
      <c r="X111">
        <f t="shared" si="22"/>
        <v>24.847253574115864</v>
      </c>
      <c r="Z111">
        <f t="shared" si="23"/>
        <v>116.98998779790585</v>
      </c>
      <c r="AA111" s="10">
        <f t="shared" si="17"/>
        <v>-7.5153526702371742E-3</v>
      </c>
    </row>
    <row r="112" spans="1:27" x14ac:dyDescent="0.3">
      <c r="A112" s="1">
        <v>45875</v>
      </c>
      <c r="B112">
        <v>957.55</v>
      </c>
      <c r="C112">
        <f t="shared" si="12"/>
        <v>-1.4612811937226699E-2</v>
      </c>
      <c r="D112">
        <f t="shared" si="18"/>
        <v>20.053403141361247</v>
      </c>
      <c r="F112" s="1">
        <v>45875</v>
      </c>
      <c r="G112">
        <v>385.55</v>
      </c>
      <c r="H112">
        <f t="shared" si="13"/>
        <v>0</v>
      </c>
      <c r="I112">
        <f t="shared" si="19"/>
        <v>29.199825225750082</v>
      </c>
      <c r="K112" s="1">
        <v>45875</v>
      </c>
      <c r="L112">
        <v>534.04999999999995</v>
      </c>
      <c r="M112">
        <f t="shared" si="14"/>
        <v>-6.7881718430353186E-3</v>
      </c>
      <c r="N112">
        <f t="shared" si="20"/>
        <v>16.296207497820404</v>
      </c>
      <c r="P112" s="1">
        <v>45875</v>
      </c>
      <c r="Q112">
        <v>65.44</v>
      </c>
      <c r="R112">
        <f t="shared" si="15"/>
        <v>6.769230769230734E-3</v>
      </c>
      <c r="S112">
        <f t="shared" si="21"/>
        <v>26.361787838097044</v>
      </c>
      <c r="U112" s="1">
        <v>45875</v>
      </c>
      <c r="V112">
        <v>104.35</v>
      </c>
      <c r="W112">
        <f t="shared" si="16"/>
        <v>-6.8525744741600733E-3</v>
      </c>
      <c r="X112">
        <f t="shared" si="22"/>
        <v>24.676985918520895</v>
      </c>
      <c r="Z112">
        <f t="shared" si="23"/>
        <v>116.58820962154967</v>
      </c>
      <c r="AA112" s="10">
        <f t="shared" si="17"/>
        <v>-3.4342953950062816E-3</v>
      </c>
    </row>
    <row r="113" spans="1:27" x14ac:dyDescent="0.3">
      <c r="A113" s="1">
        <v>45876</v>
      </c>
      <c r="B113">
        <v>936.7</v>
      </c>
      <c r="C113">
        <f t="shared" si="12"/>
        <v>-2.1774319878857407E-2</v>
      </c>
      <c r="D113">
        <f t="shared" si="18"/>
        <v>19.616753926701566</v>
      </c>
      <c r="F113" s="1">
        <v>45876</v>
      </c>
      <c r="G113">
        <v>385.55</v>
      </c>
      <c r="H113">
        <f t="shared" si="13"/>
        <v>0</v>
      </c>
      <c r="I113">
        <f t="shared" si="19"/>
        <v>29.199825225750082</v>
      </c>
      <c r="K113" s="1">
        <v>45876</v>
      </c>
      <c r="L113">
        <v>532.9</v>
      </c>
      <c r="M113">
        <f t="shared" si="14"/>
        <v>-2.153356427300772E-3</v>
      </c>
      <c r="N113">
        <f t="shared" si="20"/>
        <v>16.261115954664348</v>
      </c>
      <c r="P113" s="1">
        <v>45876</v>
      </c>
      <c r="Q113">
        <v>65.260000000000005</v>
      </c>
      <c r="R113">
        <f t="shared" si="15"/>
        <v>-2.7506112469436526E-3</v>
      </c>
      <c r="S113">
        <f t="shared" si="21"/>
        <v>26.289276807980031</v>
      </c>
      <c r="U113" s="1">
        <v>45876</v>
      </c>
      <c r="V113">
        <v>102.45</v>
      </c>
      <c r="W113">
        <f t="shared" si="16"/>
        <v>-1.8207954000958232E-2</v>
      </c>
      <c r="X113">
        <f t="shared" si="22"/>
        <v>24.227668494034173</v>
      </c>
      <c r="Z113">
        <f t="shared" si="23"/>
        <v>115.59464040913019</v>
      </c>
      <c r="AA113" s="10">
        <f t="shared" si="17"/>
        <v>-8.5220385118242037E-3</v>
      </c>
    </row>
    <row r="114" spans="1:27" x14ac:dyDescent="0.3">
      <c r="A114" s="1">
        <v>45877</v>
      </c>
      <c r="B114">
        <v>914.05</v>
      </c>
      <c r="C114">
        <f t="shared" si="12"/>
        <v>-2.4180634141133864E-2</v>
      </c>
      <c r="D114">
        <f t="shared" si="18"/>
        <v>19.142408376963342</v>
      </c>
      <c r="F114" s="1">
        <v>45877</v>
      </c>
      <c r="G114">
        <v>378.8</v>
      </c>
      <c r="H114">
        <f t="shared" si="13"/>
        <v>-1.750745687978213E-2</v>
      </c>
      <c r="I114">
        <f t="shared" si="19"/>
        <v>28.688610544713086</v>
      </c>
      <c r="K114" s="1">
        <v>45877</v>
      </c>
      <c r="L114">
        <v>518.29999999999995</v>
      </c>
      <c r="M114">
        <f t="shared" si="14"/>
        <v>-2.7397260273972646E-2</v>
      </c>
      <c r="N114">
        <f t="shared" si="20"/>
        <v>15.815605928509161</v>
      </c>
      <c r="P114" s="1">
        <v>45877</v>
      </c>
      <c r="Q114">
        <v>64.209999999999994</v>
      </c>
      <c r="R114">
        <f t="shared" si="15"/>
        <v>-1.6089488201042158E-2</v>
      </c>
      <c r="S114">
        <f t="shared" si="21"/>
        <v>25.866295798964103</v>
      </c>
      <c r="U114" s="1">
        <v>45877</v>
      </c>
      <c r="V114">
        <v>101.84</v>
      </c>
      <c r="W114">
        <f t="shared" si="16"/>
        <v>-5.9541239629087306E-3</v>
      </c>
      <c r="X114">
        <f t="shared" si="22"/>
        <v>24.083413952488435</v>
      </c>
      <c r="Z114">
        <f t="shared" si="23"/>
        <v>113.59633460163813</v>
      </c>
      <c r="AA114" s="10">
        <f t="shared" si="17"/>
        <v>-1.7287183907656489E-2</v>
      </c>
    </row>
    <row r="115" spans="1:27" x14ac:dyDescent="0.3">
      <c r="A115" s="1">
        <v>45880</v>
      </c>
      <c r="B115">
        <v>929.1</v>
      </c>
      <c r="C115">
        <f t="shared" si="12"/>
        <v>1.6465182429845269E-2</v>
      </c>
      <c r="D115">
        <f t="shared" si="18"/>
        <v>19.457591623036642</v>
      </c>
      <c r="F115" s="1">
        <v>45880</v>
      </c>
      <c r="G115">
        <v>384.3</v>
      </c>
      <c r="H115">
        <f t="shared" si="13"/>
        <v>1.4519535374868003E-2</v>
      </c>
      <c r="I115">
        <f t="shared" si="19"/>
        <v>29.105155840372856</v>
      </c>
      <c r="K115" s="1">
        <v>45880</v>
      </c>
      <c r="L115">
        <v>535.1</v>
      </c>
      <c r="M115">
        <f t="shared" si="14"/>
        <v>3.2413660042446592E-2</v>
      </c>
      <c r="N115">
        <f t="shared" si="20"/>
        <v>16.328247602441159</v>
      </c>
      <c r="P115" s="1">
        <v>45880</v>
      </c>
      <c r="Q115">
        <v>63.19</v>
      </c>
      <c r="R115">
        <f t="shared" si="15"/>
        <v>-1.5885376109640182E-2</v>
      </c>
      <c r="S115">
        <f t="shared" si="21"/>
        <v>25.455399961634352</v>
      </c>
      <c r="U115" s="1">
        <v>45880</v>
      </c>
      <c r="V115">
        <v>102.21</v>
      </c>
      <c r="W115">
        <f t="shared" si="16"/>
        <v>3.6331500392772025E-3</v>
      </c>
      <c r="X115">
        <f t="shared" si="22"/>
        <v>24.170912608835849</v>
      </c>
      <c r="Z115">
        <f t="shared" si="23"/>
        <v>114.51730763632085</v>
      </c>
      <c r="AA115" s="10">
        <f t="shared" si="17"/>
        <v>8.1074185880416483E-3</v>
      </c>
    </row>
    <row r="116" spans="1:27" x14ac:dyDescent="0.3">
      <c r="A116" s="1">
        <v>45881</v>
      </c>
      <c r="B116">
        <v>930.9</v>
      </c>
      <c r="C116">
        <f t="shared" si="12"/>
        <v>1.9373587342589112E-3</v>
      </c>
      <c r="D116">
        <f t="shared" si="18"/>
        <v>19.495287958115174</v>
      </c>
      <c r="F116" s="1">
        <v>45881</v>
      </c>
      <c r="G116">
        <v>384.45</v>
      </c>
      <c r="H116">
        <f t="shared" si="13"/>
        <v>3.9032006245115079E-4</v>
      </c>
      <c r="I116">
        <f t="shared" si="19"/>
        <v>29.116516166618119</v>
      </c>
      <c r="K116" s="1">
        <v>45881</v>
      </c>
      <c r="L116">
        <v>533.15</v>
      </c>
      <c r="M116">
        <f t="shared" si="14"/>
        <v>-3.6441786581948147E-3</v>
      </c>
      <c r="N116">
        <f t="shared" si="20"/>
        <v>16.268744551002623</v>
      </c>
      <c r="P116" s="1">
        <v>45881</v>
      </c>
      <c r="Q116">
        <v>63.32</v>
      </c>
      <c r="R116">
        <f t="shared" si="15"/>
        <v>2.057287545497746E-3</v>
      </c>
      <c r="S116">
        <f t="shared" si="21"/>
        <v>25.507769038941088</v>
      </c>
      <c r="U116" s="1">
        <v>45881</v>
      </c>
      <c r="V116">
        <v>102.68</v>
      </c>
      <c r="W116">
        <f t="shared" si="16"/>
        <v>4.5983758927699162E-3</v>
      </c>
      <c r="X116">
        <f t="shared" si="22"/>
        <v>24.282059550682568</v>
      </c>
      <c r="Z116">
        <f t="shared" si="23"/>
        <v>114.67037726535958</v>
      </c>
      <c r="AA116" s="10">
        <f t="shared" si="17"/>
        <v>1.3366506093981378E-3</v>
      </c>
    </row>
    <row r="117" spans="1:27" x14ac:dyDescent="0.3">
      <c r="A117" s="1">
        <v>45882</v>
      </c>
      <c r="B117">
        <v>924.15</v>
      </c>
      <c r="C117">
        <f t="shared" si="12"/>
        <v>-7.2510473735095072E-3</v>
      </c>
      <c r="D117">
        <f t="shared" si="18"/>
        <v>19.353926701570671</v>
      </c>
      <c r="F117" s="1">
        <v>45882</v>
      </c>
      <c r="G117">
        <v>387.2</v>
      </c>
      <c r="H117">
        <f t="shared" si="13"/>
        <v>7.1530758226037196E-3</v>
      </c>
      <c r="I117">
        <f t="shared" si="19"/>
        <v>29.324788814448006</v>
      </c>
      <c r="K117" s="1">
        <v>45882</v>
      </c>
      <c r="L117">
        <v>535</v>
      </c>
      <c r="M117">
        <f t="shared" si="14"/>
        <v>3.4699427928350799E-3</v>
      </c>
      <c r="N117">
        <f t="shared" si="20"/>
        <v>16.325196163905851</v>
      </c>
      <c r="P117" s="1">
        <v>45882</v>
      </c>
      <c r="Q117">
        <v>63.13</v>
      </c>
      <c r="R117">
        <f t="shared" si="15"/>
        <v>-3.0006317119393197E-3</v>
      </c>
      <c r="S117">
        <f t="shared" si="21"/>
        <v>25.431229618262019</v>
      </c>
      <c r="U117" s="1">
        <v>45882</v>
      </c>
      <c r="V117">
        <v>100.64</v>
      </c>
      <c r="W117">
        <f t="shared" si="16"/>
        <v>-1.9867549668874232E-2</v>
      </c>
      <c r="X117">
        <f t="shared" si="22"/>
        <v>23.799634526496821</v>
      </c>
      <c r="Z117">
        <f t="shared" si="23"/>
        <v>114.23477582468335</v>
      </c>
      <c r="AA117" s="10">
        <f t="shared" si="17"/>
        <v>-3.7987268470234259E-3</v>
      </c>
    </row>
    <row r="118" spans="1:27" x14ac:dyDescent="0.3">
      <c r="A118" s="1">
        <v>45883</v>
      </c>
      <c r="B118">
        <v>917.5</v>
      </c>
      <c r="C118">
        <f t="shared" si="12"/>
        <v>-7.1958015473678272E-3</v>
      </c>
      <c r="D118">
        <f t="shared" si="18"/>
        <v>19.214659685863865</v>
      </c>
      <c r="F118" s="1">
        <v>45883</v>
      </c>
      <c r="G118">
        <v>385.3</v>
      </c>
      <c r="H118">
        <f t="shared" si="13"/>
        <v>-4.9070247933883709E-3</v>
      </c>
      <c r="I118">
        <f t="shared" si="19"/>
        <v>29.180891348674631</v>
      </c>
      <c r="K118" s="1">
        <v>45883</v>
      </c>
      <c r="L118">
        <v>529.15</v>
      </c>
      <c r="M118">
        <f t="shared" si="14"/>
        <v>-1.0934579439252379E-2</v>
      </c>
      <c r="N118">
        <f t="shared" si="20"/>
        <v>16.146687009590245</v>
      </c>
      <c r="P118" s="1">
        <v>45883</v>
      </c>
      <c r="Q118">
        <v>60.38</v>
      </c>
      <c r="R118">
        <f t="shared" si="15"/>
        <v>-4.3560906066846192E-2</v>
      </c>
      <c r="S118">
        <f t="shared" si="21"/>
        <v>24.323422213696514</v>
      </c>
      <c r="U118" s="1">
        <v>45883</v>
      </c>
      <c r="V118">
        <v>100.8</v>
      </c>
      <c r="W118">
        <f t="shared" si="16"/>
        <v>1.58982511923685E-3</v>
      </c>
      <c r="X118">
        <f t="shared" si="22"/>
        <v>23.837471783295701</v>
      </c>
      <c r="Z118">
        <f t="shared" si="23"/>
        <v>112.70313204112097</v>
      </c>
      <c r="AA118" s="10">
        <f t="shared" si="17"/>
        <v>-1.3407859143637735E-2</v>
      </c>
    </row>
    <row r="119" spans="1:27" x14ac:dyDescent="0.3">
      <c r="A119" s="1">
        <v>45887</v>
      </c>
      <c r="B119">
        <v>941.65</v>
      </c>
      <c r="C119">
        <f t="shared" si="12"/>
        <v>2.6321525885558559E-2</v>
      </c>
      <c r="D119">
        <f t="shared" si="18"/>
        <v>19.720418848167526</v>
      </c>
      <c r="F119" s="1">
        <v>45887</v>
      </c>
      <c r="G119">
        <v>387.3</v>
      </c>
      <c r="H119">
        <f t="shared" si="13"/>
        <v>5.1907604464053979E-3</v>
      </c>
      <c r="I119">
        <f t="shared" si="19"/>
        <v>29.332362365278186</v>
      </c>
      <c r="K119" s="1">
        <v>45887</v>
      </c>
      <c r="L119">
        <v>533.6</v>
      </c>
      <c r="M119">
        <f t="shared" si="14"/>
        <v>8.4097136917699062E-3</v>
      </c>
      <c r="N119">
        <f t="shared" si="20"/>
        <v>16.282476024411523</v>
      </c>
      <c r="P119" s="1">
        <v>45887</v>
      </c>
      <c r="Q119">
        <v>60.06</v>
      </c>
      <c r="R119">
        <f t="shared" si="15"/>
        <v>-5.2997681351440919E-3</v>
      </c>
      <c r="S119">
        <f t="shared" si="21"/>
        <v>24.194513715710709</v>
      </c>
      <c r="U119" s="1">
        <v>45887</v>
      </c>
      <c r="V119">
        <v>100.92</v>
      </c>
      <c r="W119">
        <f t="shared" si="16"/>
        <v>1.1904761904762357E-3</v>
      </c>
      <c r="X119">
        <f t="shared" si="22"/>
        <v>23.865849725894861</v>
      </c>
      <c r="Z119">
        <f t="shared" si="23"/>
        <v>113.39562067946281</v>
      </c>
      <c r="AA119" s="10">
        <f t="shared" si="17"/>
        <v>6.1443601947919202E-3</v>
      </c>
    </row>
    <row r="120" spans="1:27" x14ac:dyDescent="0.3">
      <c r="A120" s="1">
        <v>45888</v>
      </c>
      <c r="B120">
        <v>973.4</v>
      </c>
      <c r="C120">
        <f t="shared" si="12"/>
        <v>3.3717410927627041E-2</v>
      </c>
      <c r="D120">
        <f t="shared" si="18"/>
        <v>20.385340314136112</v>
      </c>
      <c r="F120" s="1">
        <v>45888</v>
      </c>
      <c r="G120">
        <v>389.15</v>
      </c>
      <c r="H120">
        <f t="shared" si="13"/>
        <v>4.7766589207331933E-3</v>
      </c>
      <c r="I120">
        <f t="shared" si="19"/>
        <v>29.47247305563647</v>
      </c>
      <c r="K120" s="1">
        <v>45888</v>
      </c>
      <c r="L120">
        <v>533.29999999999995</v>
      </c>
      <c r="M120">
        <f t="shared" si="14"/>
        <v>-5.6221889055485042E-4</v>
      </c>
      <c r="N120">
        <f t="shared" si="20"/>
        <v>16.273321708805593</v>
      </c>
      <c r="P120" s="1">
        <v>45888</v>
      </c>
      <c r="Q120">
        <v>58.07</v>
      </c>
      <c r="R120">
        <f t="shared" si="15"/>
        <v>-3.3133533133533163E-2</v>
      </c>
      <c r="S120">
        <f t="shared" si="21"/>
        <v>23.392863993861486</v>
      </c>
      <c r="U120" s="1">
        <v>45888</v>
      </c>
      <c r="V120">
        <v>103.05</v>
      </c>
      <c r="W120">
        <f t="shared" si="16"/>
        <v>2.1105826397146209E-2</v>
      </c>
      <c r="X120">
        <f t="shared" si="22"/>
        <v>24.369558207029979</v>
      </c>
      <c r="Z120">
        <f t="shared" si="23"/>
        <v>113.89355727946965</v>
      </c>
      <c r="AA120" s="10">
        <f t="shared" si="17"/>
        <v>4.3911448874587311E-3</v>
      </c>
    </row>
    <row r="121" spans="1:27" x14ac:dyDescent="0.3">
      <c r="A121" s="1">
        <v>45889</v>
      </c>
      <c r="B121">
        <v>975.95</v>
      </c>
      <c r="C121">
        <f t="shared" si="12"/>
        <v>2.6196835833162814E-3</v>
      </c>
      <c r="D121">
        <f t="shared" si="18"/>
        <v>20.43874345549737</v>
      </c>
      <c r="F121" s="1">
        <v>45889</v>
      </c>
      <c r="G121">
        <v>390.55</v>
      </c>
      <c r="H121">
        <f t="shared" si="13"/>
        <v>3.5975844789927643E-3</v>
      </c>
      <c r="I121">
        <f t="shared" si="19"/>
        <v>29.578502767258964</v>
      </c>
      <c r="K121" s="1">
        <v>45889</v>
      </c>
      <c r="L121">
        <v>531.75</v>
      </c>
      <c r="M121">
        <f t="shared" si="14"/>
        <v>-2.9064316519781634E-3</v>
      </c>
      <c r="N121">
        <f t="shared" si="20"/>
        <v>16.226024411508298</v>
      </c>
      <c r="P121" s="1">
        <v>45889</v>
      </c>
      <c r="Q121">
        <v>59.59</v>
      </c>
      <c r="R121">
        <f t="shared" si="15"/>
        <v>2.6175305665576083E-2</v>
      </c>
      <c r="S121">
        <f t="shared" si="21"/>
        <v>24.005179359294058</v>
      </c>
      <c r="U121" s="1">
        <v>45889</v>
      </c>
      <c r="V121">
        <v>105.18</v>
      </c>
      <c r="W121">
        <f t="shared" si="16"/>
        <v>2.0669577874818143E-2</v>
      </c>
      <c r="X121">
        <f t="shared" si="22"/>
        <v>24.873266688165096</v>
      </c>
      <c r="Z121">
        <f t="shared" si="23"/>
        <v>115.1217166817238</v>
      </c>
      <c r="AA121" s="10">
        <f t="shared" si="17"/>
        <v>1.0783396634460374E-2</v>
      </c>
    </row>
    <row r="122" spans="1:27" x14ac:dyDescent="0.3">
      <c r="A122" s="1">
        <v>45890</v>
      </c>
      <c r="B122">
        <v>966.6</v>
      </c>
      <c r="C122">
        <f t="shared" si="12"/>
        <v>-9.5804088324197168E-3</v>
      </c>
      <c r="D122">
        <f t="shared" si="18"/>
        <v>20.242931937172763</v>
      </c>
      <c r="F122" s="1">
        <v>45890</v>
      </c>
      <c r="G122">
        <v>388.05</v>
      </c>
      <c r="H122">
        <f t="shared" si="13"/>
        <v>-6.4012290359749067E-3</v>
      </c>
      <c r="I122">
        <f t="shared" si="19"/>
        <v>29.389163996504521</v>
      </c>
      <c r="K122" s="1">
        <v>45890</v>
      </c>
      <c r="L122">
        <v>521.29999999999995</v>
      </c>
      <c r="M122">
        <f t="shared" si="14"/>
        <v>-1.9652092148566142E-2</v>
      </c>
      <c r="N122">
        <f t="shared" si="20"/>
        <v>15.907149084568454</v>
      </c>
      <c r="P122" s="1">
        <v>45890</v>
      </c>
      <c r="Q122">
        <v>59.85</v>
      </c>
      <c r="R122">
        <f t="shared" si="15"/>
        <v>4.3631481792246688E-3</v>
      </c>
      <c r="S122">
        <f t="shared" si="21"/>
        <v>24.109917513907522</v>
      </c>
      <c r="U122" s="1">
        <v>45890</v>
      </c>
      <c r="V122">
        <v>103.51</v>
      </c>
      <c r="W122">
        <f t="shared" si="16"/>
        <v>-1.5877543259174762E-2</v>
      </c>
      <c r="X122">
        <f t="shared" si="22"/>
        <v>24.478340320326762</v>
      </c>
      <c r="Z122">
        <f t="shared" si="23"/>
        <v>114.12750285248003</v>
      </c>
      <c r="AA122" s="10">
        <f t="shared" si="17"/>
        <v>-8.6361970434515323E-3</v>
      </c>
    </row>
    <row r="123" spans="1:27" x14ac:dyDescent="0.3">
      <c r="A123" s="1">
        <v>45891</v>
      </c>
      <c r="B123">
        <v>957.2</v>
      </c>
      <c r="C123">
        <f t="shared" si="12"/>
        <v>-9.7248086074901482E-3</v>
      </c>
      <c r="D123">
        <f t="shared" si="18"/>
        <v>20.04607329842931</v>
      </c>
      <c r="F123" s="1">
        <v>45891</v>
      </c>
      <c r="G123">
        <v>385.6</v>
      </c>
      <c r="H123">
        <f t="shared" si="13"/>
        <v>-6.3136193789459826E-3</v>
      </c>
      <c r="I123">
        <f t="shared" si="19"/>
        <v>29.203612001165169</v>
      </c>
      <c r="K123" s="1">
        <v>45891</v>
      </c>
      <c r="L123">
        <v>517.9</v>
      </c>
      <c r="M123">
        <f t="shared" si="14"/>
        <v>-6.522156148091267E-3</v>
      </c>
      <c r="N123">
        <f t="shared" si="20"/>
        <v>15.803400174367932</v>
      </c>
      <c r="P123" s="1">
        <v>45891</v>
      </c>
      <c r="Q123">
        <v>58.16</v>
      </c>
      <c r="R123">
        <f t="shared" si="15"/>
        <v>-2.8237259816207266E-2</v>
      </c>
      <c r="S123">
        <f t="shared" si="21"/>
        <v>23.429119508919989</v>
      </c>
      <c r="U123" s="1">
        <v>45891</v>
      </c>
      <c r="V123">
        <v>103.31</v>
      </c>
      <c r="W123">
        <f t="shared" si="16"/>
        <v>-1.9321804656555195E-3</v>
      </c>
      <c r="X123">
        <f t="shared" si="22"/>
        <v>24.431043749328161</v>
      </c>
      <c r="Z123">
        <f t="shared" si="23"/>
        <v>112.91324873221056</v>
      </c>
      <c r="AA123" s="10">
        <f t="shared" si="17"/>
        <v>-1.0639452278553785E-2</v>
      </c>
    </row>
    <row r="124" spans="1:27" x14ac:dyDescent="0.3">
      <c r="A124" s="1">
        <v>45894</v>
      </c>
      <c r="B124">
        <v>964.1</v>
      </c>
      <c r="C124">
        <f t="shared" si="12"/>
        <v>7.2085248641871888E-3</v>
      </c>
      <c r="D124">
        <f t="shared" si="18"/>
        <v>20.190575916230355</v>
      </c>
      <c r="F124" s="1">
        <v>45894</v>
      </c>
      <c r="G124">
        <v>383.25</v>
      </c>
      <c r="H124">
        <f t="shared" si="13"/>
        <v>-6.0943983402490217E-3</v>
      </c>
      <c r="I124">
        <f t="shared" si="19"/>
        <v>29.02563355665599</v>
      </c>
      <c r="K124" s="1">
        <v>45894</v>
      </c>
      <c r="L124">
        <v>521.45000000000005</v>
      </c>
      <c r="M124">
        <f t="shared" si="14"/>
        <v>6.8546051361267971E-3</v>
      </c>
      <c r="N124">
        <f t="shared" si="20"/>
        <v>15.911726242371422</v>
      </c>
      <c r="P124" s="1">
        <v>45894</v>
      </c>
      <c r="Q124">
        <v>58.51</v>
      </c>
      <c r="R124">
        <f t="shared" si="15"/>
        <v>6.0178817056396397E-3</v>
      </c>
      <c r="S124">
        <f t="shared" si="21"/>
        <v>23.57011317859196</v>
      </c>
      <c r="U124" s="1">
        <v>45894</v>
      </c>
      <c r="V124">
        <v>101.76</v>
      </c>
      <c r="W124">
        <f t="shared" si="16"/>
        <v>-1.5003387861775212E-2</v>
      </c>
      <c r="X124">
        <f t="shared" si="22"/>
        <v>24.064495324088991</v>
      </c>
      <c r="Z124">
        <f t="shared" si="23"/>
        <v>112.76254421793871</v>
      </c>
      <c r="AA124" s="10">
        <f t="shared" si="17"/>
        <v>-1.334692925444636E-3</v>
      </c>
    </row>
    <row r="125" spans="1:27" x14ac:dyDescent="0.3">
      <c r="A125" s="1">
        <v>45895</v>
      </c>
      <c r="B125">
        <v>931.25</v>
      </c>
      <c r="C125">
        <f t="shared" si="12"/>
        <v>-3.4073228918162037E-2</v>
      </c>
      <c r="D125">
        <f t="shared" si="18"/>
        <v>19.502617801047109</v>
      </c>
      <c r="F125" s="1">
        <v>45895</v>
      </c>
      <c r="G125">
        <v>377.75</v>
      </c>
      <c r="H125">
        <f t="shared" si="13"/>
        <v>-1.4350945857795172E-2</v>
      </c>
      <c r="I125">
        <f t="shared" si="19"/>
        <v>28.609088260996216</v>
      </c>
      <c r="K125" s="1">
        <v>45895</v>
      </c>
      <c r="L125">
        <v>513.1</v>
      </c>
      <c r="M125">
        <f t="shared" si="14"/>
        <v>-1.6013040559977029E-2</v>
      </c>
      <c r="N125">
        <f t="shared" si="20"/>
        <v>15.656931124673079</v>
      </c>
      <c r="P125" s="1">
        <v>45895</v>
      </c>
      <c r="Q125">
        <v>57.43</v>
      </c>
      <c r="R125">
        <f t="shared" si="15"/>
        <v>-1.8458383182361961E-2</v>
      </c>
      <c r="S125">
        <f t="shared" si="21"/>
        <v>23.135046997889869</v>
      </c>
      <c r="U125" s="1">
        <v>45895</v>
      </c>
      <c r="V125">
        <v>102.65</v>
      </c>
      <c r="W125">
        <f t="shared" si="16"/>
        <v>8.7460691823899421E-3</v>
      </c>
      <c r="X125">
        <f t="shared" si="22"/>
        <v>24.274965065032774</v>
      </c>
      <c r="Z125">
        <f t="shared" si="23"/>
        <v>111.17864924963905</v>
      </c>
      <c r="AA125" s="10">
        <f t="shared" si="17"/>
        <v>-1.4046286196225166E-2</v>
      </c>
    </row>
    <row r="126" spans="1:27" x14ac:dyDescent="0.3">
      <c r="A126" s="1">
        <v>45897</v>
      </c>
      <c r="B126">
        <v>921.15</v>
      </c>
      <c r="C126">
        <f t="shared" si="12"/>
        <v>-1.0845637583892643E-2</v>
      </c>
      <c r="D126">
        <f t="shared" si="18"/>
        <v>19.291099476439779</v>
      </c>
      <c r="F126" s="1">
        <v>45897</v>
      </c>
      <c r="G126">
        <v>371.1</v>
      </c>
      <c r="H126">
        <f t="shared" si="13"/>
        <v>-1.7604235605559172E-2</v>
      </c>
      <c r="I126">
        <f t="shared" si="19"/>
        <v>28.105447130789404</v>
      </c>
      <c r="K126" s="1">
        <v>45897</v>
      </c>
      <c r="L126">
        <v>497.65</v>
      </c>
      <c r="M126">
        <f t="shared" si="14"/>
        <v>-3.0111089456246434E-2</v>
      </c>
      <c r="N126">
        <f t="shared" si="20"/>
        <v>15.18548387096776</v>
      </c>
      <c r="P126" s="1">
        <v>45897</v>
      </c>
      <c r="Q126">
        <v>56.97</v>
      </c>
      <c r="R126">
        <f t="shared" si="15"/>
        <v>-8.0097510012188903E-3</v>
      </c>
      <c r="S126">
        <f t="shared" si="21"/>
        <v>22.949741032035273</v>
      </c>
      <c r="U126" s="1">
        <v>45897</v>
      </c>
      <c r="V126">
        <v>103.21</v>
      </c>
      <c r="W126">
        <f t="shared" si="16"/>
        <v>5.4554310764733365E-3</v>
      </c>
      <c r="X126">
        <f t="shared" si="22"/>
        <v>24.407395463828859</v>
      </c>
      <c r="Z126">
        <f t="shared" si="23"/>
        <v>109.93916697406108</v>
      </c>
      <c r="AA126" s="10">
        <f t="shared" si="17"/>
        <v>-1.1148563900923558E-2</v>
      </c>
    </row>
    <row r="127" spans="1:27" x14ac:dyDescent="0.3">
      <c r="A127" s="1">
        <v>45898</v>
      </c>
      <c r="B127">
        <v>913.5</v>
      </c>
      <c r="C127">
        <f t="shared" si="12"/>
        <v>-8.3048363458719833E-3</v>
      </c>
      <c r="D127">
        <f t="shared" si="18"/>
        <v>19.130890052356012</v>
      </c>
      <c r="F127" s="1">
        <v>45898</v>
      </c>
      <c r="G127">
        <v>374.15</v>
      </c>
      <c r="H127">
        <f t="shared" si="13"/>
        <v>8.2188089463755172E-3</v>
      </c>
      <c r="I127">
        <f t="shared" si="19"/>
        <v>28.336440431109821</v>
      </c>
      <c r="K127" s="1">
        <v>45898</v>
      </c>
      <c r="L127">
        <v>488.45</v>
      </c>
      <c r="M127">
        <f t="shared" si="14"/>
        <v>-1.8486888375364191E-2</v>
      </c>
      <c r="N127">
        <f t="shared" si="20"/>
        <v>14.904751525719286</v>
      </c>
      <c r="P127" s="1">
        <v>45898</v>
      </c>
      <c r="Q127">
        <v>56.32</v>
      </c>
      <c r="R127">
        <f t="shared" si="15"/>
        <v>-1.1409513779182002E-2</v>
      </c>
      <c r="S127">
        <f t="shared" si="21"/>
        <v>22.687895645501609</v>
      </c>
      <c r="U127" s="1">
        <v>45898</v>
      </c>
      <c r="V127">
        <v>102.95</v>
      </c>
      <c r="W127">
        <f t="shared" si="16"/>
        <v>-2.5191357426605069E-3</v>
      </c>
      <c r="X127">
        <f t="shared" si="22"/>
        <v>24.345909921530676</v>
      </c>
      <c r="Z127">
        <f t="shared" si="23"/>
        <v>109.40588757621741</v>
      </c>
      <c r="AA127" s="10">
        <f t="shared" si="17"/>
        <v>-4.8506770837138946E-3</v>
      </c>
    </row>
    <row r="128" spans="1:27" x14ac:dyDescent="0.3">
      <c r="A128" s="1">
        <v>45901</v>
      </c>
      <c r="B128">
        <v>931.55</v>
      </c>
      <c r="C128">
        <f t="shared" si="12"/>
        <v>1.9759168035030056E-2</v>
      </c>
      <c r="D128">
        <f t="shared" si="18"/>
        <v>19.508900523560197</v>
      </c>
      <c r="F128" s="1">
        <v>45901</v>
      </c>
      <c r="G128">
        <v>380.55</v>
      </c>
      <c r="H128">
        <f t="shared" si="13"/>
        <v>1.7105438995055552E-2</v>
      </c>
      <c r="I128">
        <f t="shared" si="19"/>
        <v>28.821147684241197</v>
      </c>
      <c r="K128" s="1">
        <v>45901</v>
      </c>
      <c r="L128">
        <v>501.1</v>
      </c>
      <c r="M128">
        <f t="shared" si="14"/>
        <v>2.5898249564950425E-2</v>
      </c>
      <c r="N128">
        <f t="shared" si="20"/>
        <v>15.29075850043594</v>
      </c>
      <c r="P128" s="1">
        <v>45901</v>
      </c>
      <c r="Q128">
        <v>56.43</v>
      </c>
      <c r="R128">
        <f t="shared" si="15"/>
        <v>1.9531249999999898E-3</v>
      </c>
      <c r="S128">
        <f t="shared" si="21"/>
        <v>22.73220794168423</v>
      </c>
      <c r="U128" s="1">
        <v>45901</v>
      </c>
      <c r="V128">
        <v>104.23</v>
      </c>
      <c r="W128">
        <f t="shared" si="16"/>
        <v>1.2433220009713464E-2</v>
      </c>
      <c r="X128">
        <f t="shared" si="22"/>
        <v>24.648607975921735</v>
      </c>
      <c r="Z128">
        <f t="shared" si="23"/>
        <v>111.0016226258433</v>
      </c>
      <c r="AA128" s="10">
        <f t="shared" si="17"/>
        <v>1.458545865289218E-2</v>
      </c>
    </row>
    <row r="129" spans="1:27" x14ac:dyDescent="0.3">
      <c r="A129" s="1">
        <v>45902</v>
      </c>
      <c r="B129">
        <v>933.85</v>
      </c>
      <c r="C129">
        <f t="shared" si="12"/>
        <v>2.4690032741131107E-3</v>
      </c>
      <c r="D129">
        <f t="shared" si="18"/>
        <v>19.557068062827213</v>
      </c>
      <c r="F129" s="1">
        <v>45902</v>
      </c>
      <c r="G129">
        <v>386.05</v>
      </c>
      <c r="H129">
        <f t="shared" si="13"/>
        <v>1.4452765733806333E-2</v>
      </c>
      <c r="I129">
        <f t="shared" si="19"/>
        <v>29.237692979900967</v>
      </c>
      <c r="K129" s="1">
        <v>45902</v>
      </c>
      <c r="L129">
        <v>511.3</v>
      </c>
      <c r="M129">
        <f t="shared" si="14"/>
        <v>2.035521851925761E-2</v>
      </c>
      <c r="N129">
        <f t="shared" si="20"/>
        <v>15.602005231037511</v>
      </c>
      <c r="P129" s="1">
        <v>45902</v>
      </c>
      <c r="Q129">
        <v>57.86</v>
      </c>
      <c r="R129">
        <f t="shared" si="15"/>
        <v>2.5341130604288494E-2</v>
      </c>
      <c r="S129">
        <f t="shared" si="21"/>
        <v>23.308267792058295</v>
      </c>
      <c r="U129" s="1">
        <v>45902</v>
      </c>
      <c r="V129">
        <v>105.97</v>
      </c>
      <c r="W129">
        <f t="shared" si="16"/>
        <v>1.6693850139115368E-2</v>
      </c>
      <c r="X129">
        <f t="shared" si="22"/>
        <v>25.060088143609576</v>
      </c>
      <c r="Z129">
        <f t="shared" si="23"/>
        <v>112.76512220943356</v>
      </c>
      <c r="AA129" s="10">
        <f t="shared" si="17"/>
        <v>1.5887151393584098E-2</v>
      </c>
    </row>
    <row r="130" spans="1:27" x14ac:dyDescent="0.3">
      <c r="A130" s="1">
        <v>45903</v>
      </c>
      <c r="B130">
        <v>935.7</v>
      </c>
      <c r="C130">
        <f t="shared" si="12"/>
        <v>1.9810462065642477E-3</v>
      </c>
      <c r="D130">
        <f t="shared" si="18"/>
        <v>19.595811518324595</v>
      </c>
      <c r="F130" s="1">
        <v>45903</v>
      </c>
      <c r="G130">
        <v>389.15</v>
      </c>
      <c r="H130">
        <f t="shared" si="13"/>
        <v>8.0300479212536344E-3</v>
      </c>
      <c r="I130">
        <f t="shared" si="19"/>
        <v>29.47247305563647</v>
      </c>
      <c r="K130" s="1">
        <v>45903</v>
      </c>
      <c r="L130">
        <v>509.05</v>
      </c>
      <c r="M130">
        <f t="shared" si="14"/>
        <v>-4.400547623704283E-3</v>
      </c>
      <c r="N130">
        <f t="shared" si="20"/>
        <v>15.533347863993049</v>
      </c>
      <c r="P130" s="1">
        <v>45903</v>
      </c>
      <c r="Q130">
        <v>58.25</v>
      </c>
      <c r="R130">
        <f t="shared" si="15"/>
        <v>6.7404078810923019E-3</v>
      </c>
      <c r="S130">
        <f t="shared" si="21"/>
        <v>23.465375023978492</v>
      </c>
      <c r="U130" s="1">
        <v>45903</v>
      </c>
      <c r="V130">
        <v>105.1</v>
      </c>
      <c r="W130">
        <f t="shared" si="16"/>
        <v>-8.2098707181278152E-3</v>
      </c>
      <c r="X130">
        <f t="shared" si="22"/>
        <v>24.854348059765652</v>
      </c>
      <c r="Z130">
        <f t="shared" si="23"/>
        <v>112.92135552169826</v>
      </c>
      <c r="AA130" s="10">
        <f t="shared" si="17"/>
        <v>1.3854754839404126E-3</v>
      </c>
    </row>
    <row r="131" spans="1:27" x14ac:dyDescent="0.3">
      <c r="A131" s="1">
        <v>45904</v>
      </c>
      <c r="B131">
        <v>929.15</v>
      </c>
      <c r="C131">
        <f t="shared" si="12"/>
        <v>-7.000106871860712E-3</v>
      </c>
      <c r="D131">
        <f t="shared" si="18"/>
        <v>19.458638743455484</v>
      </c>
      <c r="F131" s="1">
        <v>45904</v>
      </c>
      <c r="G131">
        <v>382.6</v>
      </c>
      <c r="H131">
        <f t="shared" si="13"/>
        <v>-1.6831555955287049E-2</v>
      </c>
      <c r="I131">
        <f t="shared" si="19"/>
        <v>28.976405476259835</v>
      </c>
      <c r="K131" s="1">
        <v>45904</v>
      </c>
      <c r="L131">
        <v>502.5</v>
      </c>
      <c r="M131">
        <f t="shared" si="14"/>
        <v>-1.2867105392397625E-2</v>
      </c>
      <c r="N131">
        <f t="shared" si="20"/>
        <v>15.333478639930275</v>
      </c>
      <c r="P131" s="1">
        <v>45904</v>
      </c>
      <c r="Q131">
        <v>57.99</v>
      </c>
      <c r="R131">
        <f t="shared" si="15"/>
        <v>-4.4635193133046869E-3</v>
      </c>
      <c r="S131">
        <f t="shared" si="21"/>
        <v>23.360636869365027</v>
      </c>
      <c r="U131" s="1">
        <v>45904</v>
      </c>
      <c r="V131">
        <v>103.44</v>
      </c>
      <c r="W131">
        <f t="shared" si="16"/>
        <v>-1.5794481446241643E-2</v>
      </c>
      <c r="X131">
        <f t="shared" si="22"/>
        <v>24.461786520477251</v>
      </c>
      <c r="Z131">
        <f t="shared" si="23"/>
        <v>111.59094624948787</v>
      </c>
      <c r="AA131" s="10">
        <f t="shared" si="17"/>
        <v>-1.1781733101448144E-2</v>
      </c>
    </row>
    <row r="132" spans="1:27" x14ac:dyDescent="0.3">
      <c r="A132" s="1">
        <v>45905</v>
      </c>
      <c r="B132">
        <v>929.35</v>
      </c>
      <c r="C132">
        <f t="shared" si="12"/>
        <v>2.1525049776682505E-4</v>
      </c>
      <c r="D132">
        <f t="shared" si="18"/>
        <v>19.462827225130876</v>
      </c>
      <c r="F132" s="1">
        <v>45905</v>
      </c>
      <c r="G132">
        <v>385.8</v>
      </c>
      <c r="H132">
        <f t="shared" si="13"/>
        <v>8.3638264506011202E-3</v>
      </c>
      <c r="I132">
        <f t="shared" si="19"/>
        <v>29.218759102825523</v>
      </c>
      <c r="K132" s="1">
        <v>45905</v>
      </c>
      <c r="L132">
        <v>504.1</v>
      </c>
      <c r="M132">
        <f t="shared" si="14"/>
        <v>3.1840796019900952E-3</v>
      </c>
      <c r="N132">
        <f t="shared" si="20"/>
        <v>15.38230165649523</v>
      </c>
      <c r="P132" s="1">
        <v>45905</v>
      </c>
      <c r="Q132">
        <v>57.42</v>
      </c>
      <c r="R132">
        <f t="shared" si="15"/>
        <v>-9.8292809105018156E-3</v>
      </c>
      <c r="S132">
        <f t="shared" si="21"/>
        <v>23.131018607327814</v>
      </c>
      <c r="U132" s="1">
        <v>45905</v>
      </c>
      <c r="V132">
        <v>104.06</v>
      </c>
      <c r="W132">
        <f t="shared" si="16"/>
        <v>5.9938128383604464E-3</v>
      </c>
      <c r="X132">
        <f t="shared" si="22"/>
        <v>24.608405890572921</v>
      </c>
      <c r="Z132">
        <f t="shared" si="23"/>
        <v>111.80331248235237</v>
      </c>
      <c r="AA132" s="10">
        <f t="shared" si="17"/>
        <v>1.9030776241444336E-3</v>
      </c>
    </row>
    <row r="133" spans="1:27" x14ac:dyDescent="0.3">
      <c r="A133" s="1">
        <v>45908</v>
      </c>
      <c r="B133">
        <v>937.2</v>
      </c>
      <c r="C133">
        <f t="shared" si="12"/>
        <v>8.4467638672190478E-3</v>
      </c>
      <c r="D133">
        <f t="shared" si="18"/>
        <v>19.627225130890039</v>
      </c>
      <c r="F133" s="1">
        <v>45908</v>
      </c>
      <c r="G133">
        <v>383.25</v>
      </c>
      <c r="H133">
        <f t="shared" si="13"/>
        <v>-6.6096423017107603E-3</v>
      </c>
      <c r="I133">
        <f t="shared" si="19"/>
        <v>29.02563355665599</v>
      </c>
      <c r="K133" s="1">
        <v>45908</v>
      </c>
      <c r="L133">
        <v>510.2</v>
      </c>
      <c r="M133">
        <f t="shared" si="14"/>
        <v>1.2100773656020563E-2</v>
      </c>
      <c r="N133">
        <f t="shared" si="20"/>
        <v>15.568439407149109</v>
      </c>
      <c r="P133" s="1">
        <v>45908</v>
      </c>
      <c r="Q133">
        <v>57.87</v>
      </c>
      <c r="R133">
        <f t="shared" si="15"/>
        <v>7.8369905956112099E-3</v>
      </c>
      <c r="S133">
        <f t="shared" si="21"/>
        <v>23.312296182620351</v>
      </c>
      <c r="U133" s="1">
        <v>45908</v>
      </c>
      <c r="V133">
        <v>102.89</v>
      </c>
      <c r="W133">
        <f t="shared" si="16"/>
        <v>-1.1243513357678279E-2</v>
      </c>
      <c r="X133">
        <f t="shared" si="22"/>
        <v>24.331720950231098</v>
      </c>
      <c r="Z133">
        <f t="shared" si="23"/>
        <v>111.86531522754659</v>
      </c>
      <c r="AA133" s="10">
        <f t="shared" si="17"/>
        <v>5.5456984071033943E-4</v>
      </c>
    </row>
    <row r="134" spans="1:27" x14ac:dyDescent="0.3">
      <c r="A134" s="1">
        <v>45909</v>
      </c>
      <c r="B134">
        <v>943.7</v>
      </c>
      <c r="C134">
        <f t="shared" ref="C134:C197" si="24">(B134-B133)/B133</f>
        <v>6.9355527102005973E-3</v>
      </c>
      <c r="D134">
        <f t="shared" si="18"/>
        <v>19.7633507853403</v>
      </c>
      <c r="F134" s="1">
        <v>45909</v>
      </c>
      <c r="G134">
        <v>384.65</v>
      </c>
      <c r="H134">
        <f t="shared" ref="H134:H197" si="25">(G134-G133)/G133</f>
        <v>3.6529680365296208E-3</v>
      </c>
      <c r="I134">
        <f t="shared" si="19"/>
        <v>29.131663268278476</v>
      </c>
      <c r="K134" s="1">
        <v>45909</v>
      </c>
      <c r="L134">
        <v>506.1</v>
      </c>
      <c r="M134">
        <f t="shared" ref="M134:M197" si="26">(L134-L133)/L133</f>
        <v>-8.036064288514241E-3</v>
      </c>
      <c r="N134">
        <f t="shared" si="20"/>
        <v>15.44333042720142</v>
      </c>
      <c r="P134" s="1">
        <v>45909</v>
      </c>
      <c r="Q134">
        <v>57.45</v>
      </c>
      <c r="R134">
        <f t="shared" ref="R134:R197" si="27">(Q134-Q133)/Q133</f>
        <v>-7.2576464489371804E-3</v>
      </c>
      <c r="S134">
        <f t="shared" si="21"/>
        <v>23.143103779013984</v>
      </c>
      <c r="U134" s="1">
        <v>45909</v>
      </c>
      <c r="V134">
        <v>103.15</v>
      </c>
      <c r="W134">
        <f t="shared" ref="W134:W197" si="28">(V134-V133)/V133</f>
        <v>2.5269705510740123E-3</v>
      </c>
      <c r="X134">
        <f t="shared" si="22"/>
        <v>24.393206492529281</v>
      </c>
      <c r="Z134">
        <f t="shared" si="23"/>
        <v>111.87465475236345</v>
      </c>
      <c r="AA134" s="10">
        <f t="shared" ref="AA134:AA197" si="29">Z134/Z133-1</f>
        <v>8.3489013532611622E-5</v>
      </c>
    </row>
    <row r="135" spans="1:27" x14ac:dyDescent="0.3">
      <c r="A135" s="1">
        <v>45910</v>
      </c>
      <c r="B135">
        <v>963.35</v>
      </c>
      <c r="C135">
        <f t="shared" si="24"/>
        <v>2.0822295220938834E-2</v>
      </c>
      <c r="D135">
        <f t="shared" ref="D135:D198" si="30">D134*(1+C135)</f>
        <v>20.174869109947632</v>
      </c>
      <c r="F135" s="1">
        <v>45910</v>
      </c>
      <c r="G135">
        <v>386.5</v>
      </c>
      <c r="H135">
        <f t="shared" si="25"/>
        <v>4.8095671389575536E-3</v>
      </c>
      <c r="I135">
        <f t="shared" ref="I135:I198" si="31">I134*(1+H135)</f>
        <v>29.271773958636768</v>
      </c>
      <c r="K135" s="1">
        <v>45910</v>
      </c>
      <c r="L135">
        <v>519</v>
      </c>
      <c r="M135">
        <f t="shared" si="26"/>
        <v>2.5489033787788929E-2</v>
      </c>
      <c r="N135">
        <f t="shared" ref="N135:N198" si="32">N134*(1+M135)</f>
        <v>15.836965998256346</v>
      </c>
      <c r="P135" s="1">
        <v>45910</v>
      </c>
      <c r="Q135">
        <v>57.06</v>
      </c>
      <c r="R135">
        <f t="shared" si="27"/>
        <v>-6.7885117493472679E-3</v>
      </c>
      <c r="S135">
        <f t="shared" ref="S135:S198" si="33">S134*(1+R135)</f>
        <v>22.985996547093784</v>
      </c>
      <c r="U135" s="1">
        <v>45910</v>
      </c>
      <c r="V135">
        <v>102.94</v>
      </c>
      <c r="W135">
        <f t="shared" si="28"/>
        <v>-2.0358700920989621E-3</v>
      </c>
      <c r="X135">
        <f t="shared" ref="X135:X198" si="34">X134*(1+W135)</f>
        <v>24.343545092980747</v>
      </c>
      <c r="Z135">
        <f t="shared" ref="Z135:Z198" si="35">X135+S135+N135+I135+D135</f>
        <v>112.61315070691528</v>
      </c>
      <c r="AA135" s="10">
        <f t="shared" si="29"/>
        <v>6.6011015290863284E-3</v>
      </c>
    </row>
    <row r="136" spans="1:27" x14ac:dyDescent="0.3">
      <c r="A136" s="1">
        <v>45911</v>
      </c>
      <c r="B136">
        <v>976.35</v>
      </c>
      <c r="C136">
        <f t="shared" si="24"/>
        <v>1.3494576218404525E-2</v>
      </c>
      <c r="D136">
        <f t="shared" si="30"/>
        <v>20.447120418848154</v>
      </c>
      <c r="F136" s="1">
        <v>45911</v>
      </c>
      <c r="G136">
        <v>388.1</v>
      </c>
      <c r="H136">
        <f t="shared" si="25"/>
        <v>4.1397153945666827E-3</v>
      </c>
      <c r="I136">
        <f t="shared" si="31"/>
        <v>29.392950771919608</v>
      </c>
      <c r="K136" s="1">
        <v>45911</v>
      </c>
      <c r="L136">
        <v>521.54999999999995</v>
      </c>
      <c r="M136">
        <f t="shared" si="26"/>
        <v>4.9132947976877738E-3</v>
      </c>
      <c r="N136">
        <f t="shared" si="32"/>
        <v>15.914777680906736</v>
      </c>
      <c r="P136" s="1">
        <v>45911</v>
      </c>
      <c r="Q136">
        <v>57.57</v>
      </c>
      <c r="R136">
        <f t="shared" si="27"/>
        <v>8.9379600420609537E-3</v>
      </c>
      <c r="S136">
        <f t="shared" si="33"/>
        <v>23.191444465758657</v>
      </c>
      <c r="U136" s="1">
        <v>45911</v>
      </c>
      <c r="V136">
        <v>102.37</v>
      </c>
      <c r="W136">
        <f t="shared" si="28"/>
        <v>-5.5372061394986707E-3</v>
      </c>
      <c r="X136">
        <f t="shared" si="34"/>
        <v>24.208749865634729</v>
      </c>
      <c r="Z136">
        <f t="shared" si="35"/>
        <v>113.15504320306789</v>
      </c>
      <c r="AA136" s="10">
        <f t="shared" si="29"/>
        <v>4.8119823728485223E-3</v>
      </c>
    </row>
    <row r="137" spans="1:27" x14ac:dyDescent="0.3">
      <c r="A137" s="1">
        <v>45912</v>
      </c>
      <c r="B137">
        <v>981.7</v>
      </c>
      <c r="C137">
        <f t="shared" si="24"/>
        <v>5.4795923592974062E-3</v>
      </c>
      <c r="D137">
        <f t="shared" si="30"/>
        <v>20.559162303664909</v>
      </c>
      <c r="F137" s="1">
        <v>45912</v>
      </c>
      <c r="G137">
        <v>386.25</v>
      </c>
      <c r="H137">
        <f t="shared" si="25"/>
        <v>-4.7668126771451243E-3</v>
      </c>
      <c r="I137">
        <f t="shared" si="31"/>
        <v>29.25284008156132</v>
      </c>
      <c r="K137" s="1">
        <v>45912</v>
      </c>
      <c r="L137">
        <v>525.75</v>
      </c>
      <c r="M137">
        <f t="shared" si="26"/>
        <v>8.0529191832039992E-3</v>
      </c>
      <c r="N137">
        <f t="shared" si="32"/>
        <v>16.042938099389737</v>
      </c>
      <c r="P137" s="1">
        <v>45912</v>
      </c>
      <c r="Q137">
        <v>56.94</v>
      </c>
      <c r="R137">
        <f t="shared" si="27"/>
        <v>-1.094319958311625E-2</v>
      </c>
      <c r="S137">
        <f t="shared" si="33"/>
        <v>22.937655860349103</v>
      </c>
      <c r="U137" s="1">
        <v>45912</v>
      </c>
      <c r="V137">
        <v>103.26</v>
      </c>
      <c r="W137">
        <f t="shared" si="28"/>
        <v>8.6939533066328085E-3</v>
      </c>
      <c r="X137">
        <f t="shared" si="34"/>
        <v>24.419219606578512</v>
      </c>
      <c r="Z137">
        <f t="shared" si="35"/>
        <v>113.21181595154358</v>
      </c>
      <c r="AA137" s="10">
        <f t="shared" si="29"/>
        <v>5.0172530422543105E-4</v>
      </c>
    </row>
    <row r="138" spans="1:27" x14ac:dyDescent="0.3">
      <c r="A138" s="1">
        <v>45915</v>
      </c>
      <c r="B138">
        <v>986.7</v>
      </c>
      <c r="C138">
        <f t="shared" si="24"/>
        <v>5.0932056636446973E-3</v>
      </c>
      <c r="D138">
        <f t="shared" si="30"/>
        <v>20.663874345549729</v>
      </c>
      <c r="F138" s="1">
        <v>45915</v>
      </c>
      <c r="G138">
        <v>388</v>
      </c>
      <c r="H138">
        <f t="shared" si="25"/>
        <v>4.5307443365695792E-3</v>
      </c>
      <c r="I138">
        <f t="shared" si="31"/>
        <v>29.385377221089431</v>
      </c>
      <c r="K138" s="1">
        <v>45915</v>
      </c>
      <c r="L138">
        <v>532</v>
      </c>
      <c r="M138">
        <f t="shared" si="26"/>
        <v>1.1887779362815026E-2</v>
      </c>
      <c r="N138">
        <f t="shared" si="32"/>
        <v>16.233653007846581</v>
      </c>
      <c r="P138" s="1">
        <v>45915</v>
      </c>
      <c r="Q138">
        <v>57.11</v>
      </c>
      <c r="R138">
        <f t="shared" si="27"/>
        <v>2.9855988760098648E-3</v>
      </c>
      <c r="S138">
        <f t="shared" si="33"/>
        <v>23.006138499904065</v>
      </c>
      <c r="U138" s="1">
        <v>45915</v>
      </c>
      <c r="V138">
        <v>103.56</v>
      </c>
      <c r="W138">
        <f t="shared" si="28"/>
        <v>2.9052876234746962E-3</v>
      </c>
      <c r="X138">
        <f t="shared" si="34"/>
        <v>24.490164463076418</v>
      </c>
      <c r="Z138">
        <f t="shared" si="35"/>
        <v>113.77920753746622</v>
      </c>
      <c r="AA138" s="10">
        <f t="shared" si="29"/>
        <v>5.0117700273042409E-3</v>
      </c>
    </row>
    <row r="139" spans="1:27" x14ac:dyDescent="0.3">
      <c r="A139" s="1">
        <v>45916</v>
      </c>
      <c r="B139">
        <v>987.85</v>
      </c>
      <c r="C139">
        <f t="shared" si="24"/>
        <v>1.1655011655011423E-3</v>
      </c>
      <c r="D139">
        <f t="shared" si="30"/>
        <v>20.687958115183239</v>
      </c>
      <c r="F139" s="1">
        <v>45916</v>
      </c>
      <c r="G139">
        <v>396.05</v>
      </c>
      <c r="H139">
        <f t="shared" si="25"/>
        <v>2.0747422680412402E-2</v>
      </c>
      <c r="I139">
        <f t="shared" si="31"/>
        <v>29.995048062918734</v>
      </c>
      <c r="K139" s="1">
        <v>45916</v>
      </c>
      <c r="L139">
        <v>540.04999999999995</v>
      </c>
      <c r="M139">
        <f t="shared" si="26"/>
        <v>1.5131578947368336E-2</v>
      </c>
      <c r="N139">
        <f t="shared" si="32"/>
        <v>16.479293809938994</v>
      </c>
      <c r="P139" s="1">
        <v>45916</v>
      </c>
      <c r="Q139">
        <v>58.07</v>
      </c>
      <c r="R139">
        <f t="shared" si="27"/>
        <v>1.680966555769569E-2</v>
      </c>
      <c r="S139">
        <f t="shared" si="33"/>
        <v>23.392863993861479</v>
      </c>
      <c r="U139" s="1">
        <v>45916</v>
      </c>
      <c r="V139">
        <v>105.35</v>
      </c>
      <c r="W139">
        <f t="shared" si="28"/>
        <v>1.7284665894167554E-2</v>
      </c>
      <c r="X139">
        <f t="shared" si="34"/>
        <v>24.913468773513912</v>
      </c>
      <c r="Z139">
        <f t="shared" si="35"/>
        <v>115.46863275541635</v>
      </c>
      <c r="AA139" s="10">
        <f t="shared" si="29"/>
        <v>1.4848277242516472E-2</v>
      </c>
    </row>
    <row r="140" spans="1:27" x14ac:dyDescent="0.3">
      <c r="A140" s="1">
        <v>45917</v>
      </c>
      <c r="B140">
        <v>979.45</v>
      </c>
      <c r="C140">
        <f t="shared" si="24"/>
        <v>-8.5033152806599961E-3</v>
      </c>
      <c r="D140">
        <f t="shared" si="30"/>
        <v>20.51204188481675</v>
      </c>
      <c r="F140" s="1">
        <v>45917</v>
      </c>
      <c r="G140">
        <v>394.65</v>
      </c>
      <c r="H140">
        <f t="shared" si="25"/>
        <v>-3.534907208685858E-3</v>
      </c>
      <c r="I140">
        <f t="shared" si="31"/>
        <v>29.889018351296244</v>
      </c>
      <c r="K140" s="1">
        <v>45917</v>
      </c>
      <c r="L140">
        <v>535</v>
      </c>
      <c r="M140">
        <f t="shared" si="26"/>
        <v>-9.3509860198128965E-3</v>
      </c>
      <c r="N140">
        <f t="shared" si="32"/>
        <v>16.325196163905865</v>
      </c>
      <c r="P140" s="1">
        <v>45917</v>
      </c>
      <c r="Q140">
        <v>58.98</v>
      </c>
      <c r="R140">
        <f t="shared" si="27"/>
        <v>1.5670742207680326E-2</v>
      </c>
      <c r="S140">
        <f t="shared" si="33"/>
        <v>23.759447535008608</v>
      </c>
      <c r="U140" s="1">
        <v>45917</v>
      </c>
      <c r="V140">
        <v>104.08</v>
      </c>
      <c r="W140">
        <f t="shared" si="28"/>
        <v>-1.2055054579971487E-2</v>
      </c>
      <c r="X140">
        <f t="shared" si="34"/>
        <v>24.613135547672787</v>
      </c>
      <c r="Z140">
        <f t="shared" si="35"/>
        <v>115.09883948270026</v>
      </c>
      <c r="AA140" s="10">
        <f t="shared" si="29"/>
        <v>-3.2025430966986512E-3</v>
      </c>
    </row>
    <row r="141" spans="1:27" x14ac:dyDescent="0.3">
      <c r="A141" s="1">
        <v>45918</v>
      </c>
      <c r="B141">
        <v>978.9</v>
      </c>
      <c r="C141">
        <f t="shared" si="24"/>
        <v>-5.6153963959371914E-4</v>
      </c>
      <c r="D141">
        <f t="shared" si="30"/>
        <v>20.50052356020942</v>
      </c>
      <c r="F141" s="1">
        <v>45918</v>
      </c>
      <c r="G141">
        <v>393.1</v>
      </c>
      <c r="H141">
        <f t="shared" si="25"/>
        <v>-3.927530723425705E-3</v>
      </c>
      <c r="I141">
        <f t="shared" si="31"/>
        <v>29.771628313428494</v>
      </c>
      <c r="K141" s="1">
        <v>45918</v>
      </c>
      <c r="L141">
        <v>537.79999999999995</v>
      </c>
      <c r="M141">
        <f t="shared" si="26"/>
        <v>5.2336448598129994E-3</v>
      </c>
      <c r="N141">
        <f t="shared" si="32"/>
        <v>16.410636442894528</v>
      </c>
      <c r="P141" s="1">
        <v>45918</v>
      </c>
      <c r="Q141">
        <v>59.29</v>
      </c>
      <c r="R141">
        <f t="shared" si="27"/>
        <v>5.2560189894880005E-3</v>
      </c>
      <c r="S141">
        <f t="shared" si="33"/>
        <v>23.884327642432353</v>
      </c>
      <c r="U141" s="1">
        <v>45918</v>
      </c>
      <c r="V141">
        <v>103.79</v>
      </c>
      <c r="W141">
        <f t="shared" si="28"/>
        <v>-2.7863182167562647E-3</v>
      </c>
      <c r="X141">
        <f t="shared" si="34"/>
        <v>24.544555519724817</v>
      </c>
      <c r="Z141">
        <f t="shared" si="35"/>
        <v>115.1116714786896</v>
      </c>
      <c r="AA141" s="10">
        <f t="shared" si="29"/>
        <v>1.1148675388050755E-4</v>
      </c>
    </row>
    <row r="142" spans="1:27" x14ac:dyDescent="0.3">
      <c r="A142" s="1">
        <v>45919</v>
      </c>
      <c r="B142" s="2">
        <v>1030.7</v>
      </c>
      <c r="C142">
        <f t="shared" si="24"/>
        <v>5.2916538972315935E-2</v>
      </c>
      <c r="D142">
        <f t="shared" si="30"/>
        <v>21.585340314136122</v>
      </c>
      <c r="F142" s="1">
        <v>45919</v>
      </c>
      <c r="G142">
        <v>396.3</v>
      </c>
      <c r="H142">
        <f t="shared" si="25"/>
        <v>8.1404222844059741E-3</v>
      </c>
      <c r="I142">
        <f t="shared" si="31"/>
        <v>30.013981939994178</v>
      </c>
      <c r="K142" s="1">
        <v>45919</v>
      </c>
      <c r="L142">
        <v>545.5</v>
      </c>
      <c r="M142">
        <f t="shared" si="26"/>
        <v>1.4317590182223961E-2</v>
      </c>
      <c r="N142">
        <f t="shared" si="32"/>
        <v>16.645597210113362</v>
      </c>
      <c r="P142" s="1">
        <v>45919</v>
      </c>
      <c r="Q142">
        <v>59.08</v>
      </c>
      <c r="R142">
        <f t="shared" si="27"/>
        <v>-3.5419126328217381E-3</v>
      </c>
      <c r="S142">
        <f t="shared" si="33"/>
        <v>23.799731440629166</v>
      </c>
      <c r="U142" s="1">
        <v>45919</v>
      </c>
      <c r="V142">
        <v>104.03</v>
      </c>
      <c r="W142">
        <f t="shared" si="28"/>
        <v>2.3123614991809893E-3</v>
      </c>
      <c r="X142">
        <f t="shared" si="34"/>
        <v>24.601311404923138</v>
      </c>
      <c r="Z142">
        <f t="shared" si="35"/>
        <v>116.64596230979596</v>
      </c>
      <c r="AA142" s="10">
        <f t="shared" si="29"/>
        <v>1.3328716466343815E-2</v>
      </c>
    </row>
    <row r="143" spans="1:27" x14ac:dyDescent="0.3">
      <c r="A143" s="1">
        <v>45922</v>
      </c>
      <c r="B143" s="2">
        <v>1152.1500000000001</v>
      </c>
      <c r="C143">
        <f t="shared" si="24"/>
        <v>0.11783254099155917</v>
      </c>
      <c r="D143">
        <f t="shared" si="30"/>
        <v>24.128795811518323</v>
      </c>
      <c r="F143" s="1">
        <v>45922</v>
      </c>
      <c r="G143">
        <v>395.3</v>
      </c>
      <c r="H143">
        <f t="shared" si="25"/>
        <v>-2.5233409033560434E-3</v>
      </c>
      <c r="I143">
        <f t="shared" si="31"/>
        <v>29.938246431692402</v>
      </c>
      <c r="K143" s="1">
        <v>45922</v>
      </c>
      <c r="L143">
        <v>542.95000000000005</v>
      </c>
      <c r="M143">
        <f t="shared" si="26"/>
        <v>-4.6746104491291558E-3</v>
      </c>
      <c r="N143">
        <f t="shared" si="32"/>
        <v>16.56778552746297</v>
      </c>
      <c r="P143" s="1">
        <v>45922</v>
      </c>
      <c r="Q143">
        <v>60.4</v>
      </c>
      <c r="R143">
        <f t="shared" si="27"/>
        <v>2.2342586323628982E-2</v>
      </c>
      <c r="S143">
        <f t="shared" si="33"/>
        <v>24.331478994820614</v>
      </c>
      <c r="U143" s="1">
        <v>45922</v>
      </c>
      <c r="V143">
        <v>103.83</v>
      </c>
      <c r="W143">
        <f t="shared" si="28"/>
        <v>-1.9225223493223383E-3</v>
      </c>
      <c r="X143">
        <f t="shared" si="34"/>
        <v>24.554014833924533</v>
      </c>
      <c r="Z143">
        <f t="shared" si="35"/>
        <v>119.52032159941885</v>
      </c>
      <c r="AA143" s="10">
        <f t="shared" si="29"/>
        <v>2.464173840830397E-2</v>
      </c>
    </row>
    <row r="144" spans="1:27" x14ac:dyDescent="0.3">
      <c r="A144" s="1">
        <v>45923</v>
      </c>
      <c r="B144" s="2">
        <v>1131.45</v>
      </c>
      <c r="C144">
        <f t="shared" si="24"/>
        <v>-1.7966410623616754E-2</v>
      </c>
      <c r="D144">
        <f t="shared" si="30"/>
        <v>23.695287958115181</v>
      </c>
      <c r="F144" s="1">
        <v>45923</v>
      </c>
      <c r="G144">
        <v>395.5</v>
      </c>
      <c r="H144">
        <f t="shared" si="25"/>
        <v>5.05944852011102E-4</v>
      </c>
      <c r="I144">
        <f t="shared" si="31"/>
        <v>29.953393533352756</v>
      </c>
      <c r="K144" s="1">
        <v>45923</v>
      </c>
      <c r="L144">
        <v>543.85</v>
      </c>
      <c r="M144">
        <f t="shared" si="26"/>
        <v>1.6576111980844961E-3</v>
      </c>
      <c r="N144">
        <f t="shared" si="32"/>
        <v>16.595248474280751</v>
      </c>
      <c r="P144" s="1">
        <v>45923</v>
      </c>
      <c r="Q144">
        <v>59.93</v>
      </c>
      <c r="R144">
        <f t="shared" si="27"/>
        <v>-7.7814569536423656E-3</v>
      </c>
      <c r="S144">
        <f t="shared" si="33"/>
        <v>24.142144638403963</v>
      </c>
      <c r="U144" s="1">
        <v>45923</v>
      </c>
      <c r="V144">
        <v>103.01</v>
      </c>
      <c r="W144">
        <f t="shared" si="28"/>
        <v>-7.8975248001540328E-3</v>
      </c>
      <c r="X144">
        <f t="shared" si="34"/>
        <v>24.360098892830266</v>
      </c>
      <c r="Z144">
        <f t="shared" si="35"/>
        <v>118.74617349698292</v>
      </c>
      <c r="AA144" s="10">
        <f t="shared" si="29"/>
        <v>-6.4771253296200815E-3</v>
      </c>
    </row>
    <row r="145" spans="1:27" x14ac:dyDescent="0.3">
      <c r="A145" s="1">
        <v>45924</v>
      </c>
      <c r="B145" s="2">
        <v>1095.25</v>
      </c>
      <c r="C145">
        <f t="shared" si="24"/>
        <v>-3.1994343541473368E-2</v>
      </c>
      <c r="D145">
        <f t="shared" si="30"/>
        <v>22.937172774869108</v>
      </c>
      <c r="F145" s="1">
        <v>45924</v>
      </c>
      <c r="G145">
        <v>390.3</v>
      </c>
      <c r="H145">
        <f t="shared" si="25"/>
        <v>-1.3147914032869756E-2</v>
      </c>
      <c r="I145">
        <f t="shared" si="31"/>
        <v>29.559568890183517</v>
      </c>
      <c r="K145" s="1">
        <v>45924</v>
      </c>
      <c r="L145">
        <v>535.15</v>
      </c>
      <c r="M145">
        <f t="shared" si="26"/>
        <v>-1.5997058012319657E-2</v>
      </c>
      <c r="N145">
        <f t="shared" si="32"/>
        <v>16.329773321708824</v>
      </c>
      <c r="P145" s="1">
        <v>45924</v>
      </c>
      <c r="Q145">
        <v>58.75</v>
      </c>
      <c r="R145">
        <f t="shared" si="27"/>
        <v>-1.9689637910896042E-2</v>
      </c>
      <c r="S145">
        <f t="shared" si="33"/>
        <v>23.666794552081306</v>
      </c>
      <c r="U145" s="1">
        <v>45924</v>
      </c>
      <c r="V145">
        <v>102.33</v>
      </c>
      <c r="W145">
        <f t="shared" si="28"/>
        <v>-6.6013008445782624E-3</v>
      </c>
      <c r="X145">
        <f t="shared" si="34"/>
        <v>24.199290551435016</v>
      </c>
      <c r="Z145">
        <f t="shared" si="35"/>
        <v>116.69260009027778</v>
      </c>
      <c r="AA145" s="10">
        <f t="shared" si="29"/>
        <v>-1.7293807002187855E-2</v>
      </c>
    </row>
    <row r="146" spans="1:27" x14ac:dyDescent="0.3">
      <c r="A146" s="1">
        <v>45925</v>
      </c>
      <c r="B146" s="2">
        <v>1079.55</v>
      </c>
      <c r="C146">
        <f t="shared" si="24"/>
        <v>-1.433462679753485E-2</v>
      </c>
      <c r="D146">
        <f t="shared" si="30"/>
        <v>22.608376963350782</v>
      </c>
      <c r="F146" s="1">
        <v>45925</v>
      </c>
      <c r="G146">
        <v>386</v>
      </c>
      <c r="H146">
        <f t="shared" si="25"/>
        <v>-1.1017166282346941E-2</v>
      </c>
      <c r="I146">
        <f t="shared" si="31"/>
        <v>29.233906204485876</v>
      </c>
      <c r="K146" s="1">
        <v>45925</v>
      </c>
      <c r="L146">
        <v>528.6</v>
      </c>
      <c r="M146">
        <f t="shared" si="26"/>
        <v>-1.2239559002148846E-2</v>
      </c>
      <c r="N146">
        <f t="shared" si="32"/>
        <v>16.129904097646055</v>
      </c>
      <c r="P146" s="1">
        <v>45925</v>
      </c>
      <c r="Q146">
        <v>57.5</v>
      </c>
      <c r="R146">
        <f t="shared" si="27"/>
        <v>-2.1276595744680851E-2</v>
      </c>
      <c r="S146">
        <f t="shared" si="33"/>
        <v>23.163245731824258</v>
      </c>
      <c r="U146" s="1">
        <v>45925</v>
      </c>
      <c r="V146">
        <v>101.72</v>
      </c>
      <c r="W146">
        <f t="shared" si="28"/>
        <v>-5.9611062249584623E-3</v>
      </c>
      <c r="X146">
        <f t="shared" si="34"/>
        <v>24.055036009889278</v>
      </c>
      <c r="Z146">
        <f t="shared" si="35"/>
        <v>115.19046900719626</v>
      </c>
      <c r="AA146" s="10">
        <f t="shared" si="29"/>
        <v>-1.2872547890092623E-2</v>
      </c>
    </row>
    <row r="147" spans="1:27" x14ac:dyDescent="0.3">
      <c r="A147" s="1">
        <v>45926</v>
      </c>
      <c r="B147" s="2">
        <v>1047.4000000000001</v>
      </c>
      <c r="C147">
        <f t="shared" si="24"/>
        <v>-2.9780927238200978E-2</v>
      </c>
      <c r="D147">
        <f t="shared" si="30"/>
        <v>21.935078534031412</v>
      </c>
      <c r="F147" s="1">
        <v>45926</v>
      </c>
      <c r="G147">
        <v>383.8</v>
      </c>
      <c r="H147">
        <f t="shared" si="25"/>
        <v>-5.6994818652849446E-3</v>
      </c>
      <c r="I147">
        <f t="shared" si="31"/>
        <v>29.067288086221968</v>
      </c>
      <c r="K147" s="1">
        <v>45926</v>
      </c>
      <c r="L147">
        <v>520.1</v>
      </c>
      <c r="M147">
        <f t="shared" si="26"/>
        <v>-1.6080211880438896E-2</v>
      </c>
      <c r="N147">
        <f t="shared" si="32"/>
        <v>15.870531822144747</v>
      </c>
      <c r="P147" s="1">
        <v>45926</v>
      </c>
      <c r="Q147">
        <v>56.64</v>
      </c>
      <c r="R147">
        <f t="shared" si="27"/>
        <v>-1.4956521739130426E-2</v>
      </c>
      <c r="S147">
        <f t="shared" si="33"/>
        <v>22.81680414348741</v>
      </c>
      <c r="U147" s="1">
        <v>45926</v>
      </c>
      <c r="V147">
        <v>99.38</v>
      </c>
      <c r="W147">
        <f t="shared" si="28"/>
        <v>-2.3004325599685446E-2</v>
      </c>
      <c r="X147">
        <f t="shared" si="34"/>
        <v>23.501666129205628</v>
      </c>
      <c r="Z147">
        <f t="shared" si="35"/>
        <v>113.19136871509116</v>
      </c>
      <c r="AA147" s="10">
        <f t="shared" si="29"/>
        <v>-1.7354736978978824E-2</v>
      </c>
    </row>
    <row r="148" spans="1:27" x14ac:dyDescent="0.3">
      <c r="A148" s="1">
        <v>45929</v>
      </c>
      <c r="B148" s="2">
        <v>1035.3499999999999</v>
      </c>
      <c r="C148">
        <f t="shared" si="24"/>
        <v>-1.1504678250907181E-2</v>
      </c>
      <c r="D148">
        <f t="shared" si="30"/>
        <v>21.682722513089001</v>
      </c>
      <c r="F148" s="1">
        <v>45929</v>
      </c>
      <c r="G148">
        <v>388.05</v>
      </c>
      <c r="H148">
        <f t="shared" si="25"/>
        <v>1.1073475768629494E-2</v>
      </c>
      <c r="I148">
        <f t="shared" si="31"/>
        <v>29.389163996504518</v>
      </c>
      <c r="K148" s="1">
        <v>45929</v>
      </c>
      <c r="L148">
        <v>528.54999999999995</v>
      </c>
      <c r="M148">
        <f t="shared" si="26"/>
        <v>1.624687560084586E-2</v>
      </c>
      <c r="N148">
        <f t="shared" si="32"/>
        <v>16.128378378378397</v>
      </c>
      <c r="P148" s="1">
        <v>45929</v>
      </c>
      <c r="Q148">
        <v>55.28</v>
      </c>
      <c r="R148">
        <f t="shared" si="27"/>
        <v>-2.4011299435028239E-2</v>
      </c>
      <c r="S148">
        <f t="shared" si="33"/>
        <v>22.26894302704774</v>
      </c>
      <c r="U148" s="1">
        <v>45929</v>
      </c>
      <c r="V148">
        <v>97.12</v>
      </c>
      <c r="W148">
        <f t="shared" si="28"/>
        <v>-2.2740994163815566E-2</v>
      </c>
      <c r="X148">
        <f t="shared" si="34"/>
        <v>22.967214876921421</v>
      </c>
      <c r="Z148">
        <f t="shared" si="35"/>
        <v>112.43642279194108</v>
      </c>
      <c r="AA148" s="10">
        <f t="shared" si="29"/>
        <v>-6.6696421442726805E-3</v>
      </c>
    </row>
    <row r="149" spans="1:27" x14ac:dyDescent="0.3">
      <c r="A149" s="1">
        <v>45930</v>
      </c>
      <c r="B149" s="2">
        <v>1026.8499999999999</v>
      </c>
      <c r="C149">
        <f t="shared" si="24"/>
        <v>-8.2097841309702047E-3</v>
      </c>
      <c r="D149">
        <f t="shared" si="30"/>
        <v>21.504712041884812</v>
      </c>
      <c r="F149" s="1">
        <v>45930</v>
      </c>
      <c r="G149">
        <v>388.65</v>
      </c>
      <c r="H149">
        <f t="shared" si="25"/>
        <v>1.5461925009662824E-3</v>
      </c>
      <c r="I149">
        <f t="shared" si="31"/>
        <v>29.434605301485583</v>
      </c>
      <c r="K149" s="1">
        <v>45930</v>
      </c>
      <c r="L149">
        <v>530.85</v>
      </c>
      <c r="M149">
        <f t="shared" si="26"/>
        <v>4.3515277646392365E-3</v>
      </c>
      <c r="N149">
        <f t="shared" si="32"/>
        <v>16.19856146469052</v>
      </c>
      <c r="P149" s="1">
        <v>45930</v>
      </c>
      <c r="Q149">
        <v>55.28</v>
      </c>
      <c r="R149">
        <f t="shared" si="27"/>
        <v>0</v>
      </c>
      <c r="S149">
        <f t="shared" si="33"/>
        <v>22.26894302704774</v>
      </c>
      <c r="U149" s="1">
        <v>45930</v>
      </c>
      <c r="V149">
        <v>97.21</v>
      </c>
      <c r="W149">
        <f t="shared" si="28"/>
        <v>9.2668863261932861E-4</v>
      </c>
      <c r="X149">
        <f t="shared" si="34"/>
        <v>22.98849833387079</v>
      </c>
      <c r="Z149">
        <f t="shared" si="35"/>
        <v>112.39532016897945</v>
      </c>
      <c r="AA149" s="10">
        <f t="shared" si="29"/>
        <v>-3.6556323957126491E-4</v>
      </c>
    </row>
    <row r="150" spans="1:27" x14ac:dyDescent="0.3">
      <c r="A150" s="1">
        <v>45931</v>
      </c>
      <c r="B150" s="2">
        <v>1064.7</v>
      </c>
      <c r="C150">
        <f t="shared" si="24"/>
        <v>3.6860300920290343E-2</v>
      </c>
      <c r="D150">
        <f t="shared" si="30"/>
        <v>22.297382198952878</v>
      </c>
      <c r="F150" s="1">
        <v>45931</v>
      </c>
      <c r="G150">
        <v>391.15</v>
      </c>
      <c r="H150">
        <f t="shared" si="25"/>
        <v>6.4325228354560659E-3</v>
      </c>
      <c r="I150">
        <f t="shared" si="31"/>
        <v>29.623944072240025</v>
      </c>
      <c r="K150" s="1">
        <v>45931</v>
      </c>
      <c r="L150">
        <v>536.45000000000005</v>
      </c>
      <c r="M150">
        <f t="shared" si="26"/>
        <v>1.054911933691254E-2</v>
      </c>
      <c r="N150">
        <f t="shared" si="32"/>
        <v>16.369442022667855</v>
      </c>
      <c r="P150" s="1">
        <v>45931</v>
      </c>
      <c r="Q150">
        <v>55.05</v>
      </c>
      <c r="R150">
        <f t="shared" si="27"/>
        <v>-4.1606367583213455E-3</v>
      </c>
      <c r="S150">
        <f t="shared" si="33"/>
        <v>22.176290044120442</v>
      </c>
      <c r="U150" s="1">
        <v>45931</v>
      </c>
      <c r="V150">
        <v>98.15</v>
      </c>
      <c r="W150">
        <f t="shared" si="28"/>
        <v>9.6697870589446764E-3</v>
      </c>
      <c r="X150">
        <f t="shared" si="34"/>
        <v>23.210792217564222</v>
      </c>
      <c r="Z150">
        <f t="shared" si="35"/>
        <v>113.67785055554542</v>
      </c>
      <c r="AA150" s="10">
        <f t="shared" si="29"/>
        <v>1.1410887789969903E-2</v>
      </c>
    </row>
    <row r="151" spans="1:27" x14ac:dyDescent="0.3">
      <c r="A151" s="1">
        <v>45933</v>
      </c>
      <c r="B151" s="2">
        <v>1070.3</v>
      </c>
      <c r="C151">
        <f t="shared" si="24"/>
        <v>5.2596975673897895E-3</v>
      </c>
      <c r="D151">
        <f t="shared" si="30"/>
        <v>22.414659685863871</v>
      </c>
      <c r="F151" s="1">
        <v>45933</v>
      </c>
      <c r="G151">
        <v>394.9</v>
      </c>
      <c r="H151">
        <f t="shared" si="25"/>
        <v>9.5871149175508121E-3</v>
      </c>
      <c r="I151">
        <f t="shared" si="31"/>
        <v>29.907952228371688</v>
      </c>
      <c r="K151" s="1">
        <v>45933</v>
      </c>
      <c r="L151">
        <v>539.9</v>
      </c>
      <c r="M151">
        <f t="shared" si="26"/>
        <v>6.4311678628016242E-3</v>
      </c>
      <c r="N151">
        <f t="shared" si="32"/>
        <v>16.474716652136031</v>
      </c>
      <c r="P151" s="1">
        <v>45933</v>
      </c>
      <c r="Q151">
        <v>55.18</v>
      </c>
      <c r="R151">
        <f t="shared" si="27"/>
        <v>2.361489554950092E-3</v>
      </c>
      <c r="S151">
        <f t="shared" si="33"/>
        <v>22.228659121427178</v>
      </c>
      <c r="U151" s="1">
        <v>45933</v>
      </c>
      <c r="V151">
        <v>97.6</v>
      </c>
      <c r="W151">
        <f t="shared" si="28"/>
        <v>-5.6036678553235998E-3</v>
      </c>
      <c r="X151">
        <f t="shared" si="34"/>
        <v>23.080726647318063</v>
      </c>
      <c r="Z151">
        <f t="shared" si="35"/>
        <v>114.10671433511683</v>
      </c>
      <c r="AA151" s="10">
        <f t="shared" si="29"/>
        <v>3.7726239322397603E-3</v>
      </c>
    </row>
    <row r="152" spans="1:27" x14ac:dyDescent="0.3">
      <c r="A152" s="1">
        <v>45936</v>
      </c>
      <c r="B152" s="2">
        <v>1059.4000000000001</v>
      </c>
      <c r="C152">
        <f t="shared" si="24"/>
        <v>-1.0184060543772647E-2</v>
      </c>
      <c r="D152">
        <f t="shared" si="30"/>
        <v>22.186387434554973</v>
      </c>
      <c r="F152" s="1">
        <v>45936</v>
      </c>
      <c r="G152">
        <v>395.55</v>
      </c>
      <c r="H152">
        <f t="shared" si="25"/>
        <v>1.6459863256521503E-3</v>
      </c>
      <c r="I152">
        <f t="shared" si="31"/>
        <v>29.957180308767846</v>
      </c>
      <c r="K152" s="1">
        <v>45936</v>
      </c>
      <c r="L152">
        <v>541</v>
      </c>
      <c r="M152">
        <f t="shared" si="26"/>
        <v>2.0374143359881882E-3</v>
      </c>
      <c r="N152">
        <f t="shared" si="32"/>
        <v>16.508282476024437</v>
      </c>
      <c r="P152" s="1">
        <v>45936</v>
      </c>
      <c r="Q152">
        <v>54.46</v>
      </c>
      <c r="R152">
        <f t="shared" si="27"/>
        <v>-1.3048205871692621E-2</v>
      </c>
      <c r="S152">
        <f t="shared" si="33"/>
        <v>21.938615000959118</v>
      </c>
      <c r="U152" s="1">
        <v>45936</v>
      </c>
      <c r="V152">
        <v>98.17</v>
      </c>
      <c r="W152">
        <f t="shared" si="28"/>
        <v>5.8401639344263052E-3</v>
      </c>
      <c r="X152">
        <f t="shared" si="34"/>
        <v>23.215521874664081</v>
      </c>
      <c r="Z152">
        <f t="shared" si="35"/>
        <v>113.80598709497045</v>
      </c>
      <c r="AA152" s="10">
        <f t="shared" si="29"/>
        <v>-2.6354911882151555E-3</v>
      </c>
    </row>
    <row r="153" spans="1:27" x14ac:dyDescent="0.3">
      <c r="A153" s="1">
        <v>45937</v>
      </c>
      <c r="B153" s="2">
        <v>1060.7</v>
      </c>
      <c r="C153">
        <f t="shared" si="24"/>
        <v>1.2271096847271611E-3</v>
      </c>
      <c r="D153">
        <f t="shared" si="30"/>
        <v>22.213612565445025</v>
      </c>
      <c r="F153" s="1">
        <v>45937</v>
      </c>
      <c r="G153">
        <v>392.5</v>
      </c>
      <c r="H153">
        <f t="shared" si="25"/>
        <v>-7.7107824548097873E-3</v>
      </c>
      <c r="I153">
        <f t="shared" si="31"/>
        <v>29.726187008447425</v>
      </c>
      <c r="K153" s="1">
        <v>45937</v>
      </c>
      <c r="L153">
        <v>548.04999999999995</v>
      </c>
      <c r="M153">
        <f t="shared" si="26"/>
        <v>1.3031423290203244E-2</v>
      </c>
      <c r="N153">
        <f t="shared" si="32"/>
        <v>16.723408892763757</v>
      </c>
      <c r="P153" s="1">
        <v>45937</v>
      </c>
      <c r="Q153">
        <v>54.11</v>
      </c>
      <c r="R153">
        <f t="shared" si="27"/>
        <v>-6.4267352185090236E-3</v>
      </c>
      <c r="S153">
        <f t="shared" si="33"/>
        <v>21.797621331287143</v>
      </c>
      <c r="U153" s="1">
        <v>45937</v>
      </c>
      <c r="V153">
        <v>98.53</v>
      </c>
      <c r="W153">
        <f t="shared" si="28"/>
        <v>3.6671080778241769E-3</v>
      </c>
      <c r="X153">
        <f t="shared" si="34"/>
        <v>23.300655702461565</v>
      </c>
      <c r="Z153">
        <f t="shared" si="35"/>
        <v>113.76148550040492</v>
      </c>
      <c r="AA153" s="10">
        <f t="shared" si="29"/>
        <v>-3.9103034648246826E-4</v>
      </c>
    </row>
    <row r="154" spans="1:27" x14ac:dyDescent="0.3">
      <c r="A154" s="1">
        <v>45938</v>
      </c>
      <c r="B154" s="2">
        <v>1045.0999999999999</v>
      </c>
      <c r="C154">
        <f t="shared" si="24"/>
        <v>-1.4707268784764907E-2</v>
      </c>
      <c r="D154">
        <f t="shared" si="30"/>
        <v>21.886910994764396</v>
      </c>
      <c r="F154" s="1">
        <v>45938</v>
      </c>
      <c r="G154">
        <v>385.45</v>
      </c>
      <c r="H154">
        <f t="shared" si="25"/>
        <v>-1.7961783439490474E-2</v>
      </c>
      <c r="I154">
        <f t="shared" si="31"/>
        <v>29.192251674919895</v>
      </c>
      <c r="K154" s="1">
        <v>45938</v>
      </c>
      <c r="L154">
        <v>534.45000000000005</v>
      </c>
      <c r="M154">
        <f t="shared" si="26"/>
        <v>-2.4815254082656529E-2</v>
      </c>
      <c r="N154">
        <f t="shared" si="32"/>
        <v>16.308413251961667</v>
      </c>
      <c r="P154" s="1">
        <v>45938</v>
      </c>
      <c r="Q154">
        <v>54.01</v>
      </c>
      <c r="R154">
        <f t="shared" si="27"/>
        <v>-1.8480872297172689E-3</v>
      </c>
      <c r="S154">
        <f t="shared" si="33"/>
        <v>21.757337425666577</v>
      </c>
      <c r="U154" s="1">
        <v>45938</v>
      </c>
      <c r="V154">
        <v>98.55</v>
      </c>
      <c r="W154">
        <f t="shared" si="28"/>
        <v>2.0298386278286837E-4</v>
      </c>
      <c r="X154">
        <f t="shared" si="34"/>
        <v>23.305385359561424</v>
      </c>
      <c r="Z154">
        <f t="shared" si="35"/>
        <v>112.45029870687397</v>
      </c>
      <c r="AA154" s="10">
        <f t="shared" si="29"/>
        <v>-1.1525753094409841E-2</v>
      </c>
    </row>
    <row r="155" spans="1:27" x14ac:dyDescent="0.3">
      <c r="A155" s="1">
        <v>45939</v>
      </c>
      <c r="B155" s="2">
        <v>1051.5</v>
      </c>
      <c r="C155">
        <f t="shared" si="24"/>
        <v>6.1238159027845098E-3</v>
      </c>
      <c r="D155">
        <f t="shared" si="30"/>
        <v>22.020942408376964</v>
      </c>
      <c r="F155" s="1">
        <v>45939</v>
      </c>
      <c r="G155">
        <v>388.2</v>
      </c>
      <c r="H155">
        <f t="shared" si="25"/>
        <v>7.1345180957322609E-3</v>
      </c>
      <c r="I155">
        <f t="shared" si="31"/>
        <v>29.400524322749781</v>
      </c>
      <c r="K155" s="1">
        <v>45939</v>
      </c>
      <c r="L155">
        <v>542.79999999999995</v>
      </c>
      <c r="M155">
        <f t="shared" si="26"/>
        <v>1.5623538216858281E-2</v>
      </c>
      <c r="N155">
        <f t="shared" si="32"/>
        <v>16.563208369660011</v>
      </c>
      <c r="P155" s="1">
        <v>45939</v>
      </c>
      <c r="Q155">
        <v>52.77</v>
      </c>
      <c r="R155">
        <f t="shared" si="27"/>
        <v>-2.2958711349749951E-2</v>
      </c>
      <c r="S155">
        <f t="shared" si="33"/>
        <v>21.257816995971588</v>
      </c>
      <c r="U155" s="1">
        <v>45939</v>
      </c>
      <c r="V155">
        <v>98.17</v>
      </c>
      <c r="W155">
        <f t="shared" si="28"/>
        <v>-3.8559107052257278E-3</v>
      </c>
      <c r="X155">
        <f t="shared" si="34"/>
        <v>23.215521874664081</v>
      </c>
      <c r="Z155">
        <f t="shared" si="35"/>
        <v>112.45801397142243</v>
      </c>
      <c r="AA155" s="10">
        <f t="shared" si="29"/>
        <v>6.8610440676408757E-5</v>
      </c>
    </row>
    <row r="156" spans="1:27" x14ac:dyDescent="0.3">
      <c r="A156" s="1">
        <v>45940</v>
      </c>
      <c r="B156" s="2">
        <v>1064.3</v>
      </c>
      <c r="C156">
        <f t="shared" si="24"/>
        <v>1.2173086067522543E-2</v>
      </c>
      <c r="D156">
        <f t="shared" si="30"/>
        <v>22.289005235602097</v>
      </c>
      <c r="F156" s="1">
        <v>45940</v>
      </c>
      <c r="G156">
        <v>390.1</v>
      </c>
      <c r="H156">
        <f t="shared" si="25"/>
        <v>4.8943843379702064E-3</v>
      </c>
      <c r="I156">
        <f t="shared" si="31"/>
        <v>29.544421788523163</v>
      </c>
      <c r="K156" s="1">
        <v>45940</v>
      </c>
      <c r="L156">
        <v>546</v>
      </c>
      <c r="M156">
        <f t="shared" si="26"/>
        <v>5.8953574060428256E-3</v>
      </c>
      <c r="N156">
        <f t="shared" si="32"/>
        <v>16.660854402789916</v>
      </c>
      <c r="P156" s="1">
        <v>45940</v>
      </c>
      <c r="Q156">
        <v>53.17</v>
      </c>
      <c r="R156">
        <f t="shared" si="27"/>
        <v>7.5800644305476323E-3</v>
      </c>
      <c r="S156">
        <f t="shared" si="33"/>
        <v>21.418952618453844</v>
      </c>
      <c r="U156" s="1">
        <v>45940</v>
      </c>
      <c r="V156">
        <v>99.58</v>
      </c>
      <c r="W156">
        <f t="shared" si="28"/>
        <v>1.4362839971478013E-2</v>
      </c>
      <c r="X156">
        <f t="shared" si="34"/>
        <v>23.548962700204225</v>
      </c>
      <c r="Z156">
        <f t="shared" si="35"/>
        <v>113.46219674557324</v>
      </c>
      <c r="AA156" s="10">
        <f t="shared" si="29"/>
        <v>8.929401637894685E-3</v>
      </c>
    </row>
    <row r="157" spans="1:27" x14ac:dyDescent="0.3">
      <c r="A157" s="1">
        <v>45943</v>
      </c>
      <c r="B157" s="2">
        <v>1051.3</v>
      </c>
      <c r="C157">
        <f t="shared" si="24"/>
        <v>-1.2214601146293339E-2</v>
      </c>
      <c r="D157">
        <f t="shared" si="30"/>
        <v>22.016753926701572</v>
      </c>
      <c r="F157" s="1">
        <v>45943</v>
      </c>
      <c r="G157">
        <v>391.15</v>
      </c>
      <c r="H157">
        <f t="shared" si="25"/>
        <v>2.6916175339655331E-3</v>
      </c>
      <c r="I157">
        <f t="shared" si="31"/>
        <v>29.623944072240025</v>
      </c>
      <c r="K157" s="1">
        <v>45943</v>
      </c>
      <c r="L157">
        <v>544.45000000000005</v>
      </c>
      <c r="M157">
        <f t="shared" si="26"/>
        <v>-2.8388278388277555E-3</v>
      </c>
      <c r="N157">
        <f t="shared" si="32"/>
        <v>16.613557105492621</v>
      </c>
      <c r="P157" s="1">
        <v>45943</v>
      </c>
      <c r="Q157">
        <v>54.31</v>
      </c>
      <c r="R157">
        <f t="shared" si="27"/>
        <v>2.1440662027459104E-2</v>
      </c>
      <c r="S157">
        <f t="shared" si="33"/>
        <v>21.878189142528274</v>
      </c>
      <c r="U157" s="1">
        <v>45943</v>
      </c>
      <c r="V157">
        <v>98.7</v>
      </c>
      <c r="W157">
        <f t="shared" si="28"/>
        <v>-8.8371158867241971E-3</v>
      </c>
      <c r="X157">
        <f t="shared" si="34"/>
        <v>23.340857787810375</v>
      </c>
      <c r="Z157">
        <f t="shared" si="35"/>
        <v>113.47330203477286</v>
      </c>
      <c r="AA157" s="10">
        <f t="shared" si="29"/>
        <v>9.7876557286546984E-5</v>
      </c>
    </row>
    <row r="158" spans="1:27" x14ac:dyDescent="0.3">
      <c r="A158" s="1">
        <v>45944</v>
      </c>
      <c r="B158" s="2">
        <v>1036.2</v>
      </c>
      <c r="C158">
        <f t="shared" si="24"/>
        <v>-1.4363169409302682E-2</v>
      </c>
      <c r="D158">
        <f t="shared" si="30"/>
        <v>21.700523560209426</v>
      </c>
      <c r="F158" s="1">
        <v>45944</v>
      </c>
      <c r="G158">
        <v>391.55</v>
      </c>
      <c r="H158">
        <f t="shared" si="25"/>
        <v>1.0226255912055072E-3</v>
      </c>
      <c r="I158">
        <f t="shared" si="31"/>
        <v>29.65423827556074</v>
      </c>
      <c r="K158" s="1">
        <v>45944</v>
      </c>
      <c r="L158">
        <v>541.04999999999995</v>
      </c>
      <c r="M158">
        <f t="shared" si="26"/>
        <v>-6.2448342363855096E-3</v>
      </c>
      <c r="N158">
        <f t="shared" si="32"/>
        <v>16.509808195292095</v>
      </c>
      <c r="P158" s="1">
        <v>45944</v>
      </c>
      <c r="Q158">
        <v>54.35</v>
      </c>
      <c r="R158">
        <f t="shared" si="27"/>
        <v>7.3651261277847806E-4</v>
      </c>
      <c r="S158">
        <f t="shared" si="33"/>
        <v>21.8943027047765</v>
      </c>
      <c r="U158" s="1">
        <v>45944</v>
      </c>
      <c r="V158">
        <v>98.75</v>
      </c>
      <c r="W158">
        <f t="shared" si="28"/>
        <v>5.0658561296856289E-4</v>
      </c>
      <c r="X158">
        <f t="shared" si="34"/>
        <v>23.352681930560024</v>
      </c>
      <c r="Z158">
        <f t="shared" si="35"/>
        <v>113.11155466639877</v>
      </c>
      <c r="AA158" s="10">
        <f t="shared" si="29"/>
        <v>-3.1879513673025439E-3</v>
      </c>
    </row>
    <row r="159" spans="1:27" x14ac:dyDescent="0.3">
      <c r="A159" s="1">
        <v>45945</v>
      </c>
      <c r="B159" s="2">
        <v>1043.8</v>
      </c>
      <c r="C159">
        <f t="shared" si="24"/>
        <v>7.3344914109244441E-3</v>
      </c>
      <c r="D159">
        <f t="shared" si="30"/>
        <v>21.859685863874343</v>
      </c>
      <c r="F159" s="1">
        <v>45945</v>
      </c>
      <c r="G159">
        <v>396.5</v>
      </c>
      <c r="H159">
        <f t="shared" si="25"/>
        <v>1.2642063593410774E-2</v>
      </c>
      <c r="I159">
        <f t="shared" si="31"/>
        <v>30.029129041654535</v>
      </c>
      <c r="K159" s="1">
        <v>45945</v>
      </c>
      <c r="L159">
        <v>545.75</v>
      </c>
      <c r="M159">
        <f t="shared" si="26"/>
        <v>8.6868126790500804E-3</v>
      </c>
      <c r="N159">
        <f t="shared" si="32"/>
        <v>16.653225806451644</v>
      </c>
      <c r="P159" s="1">
        <v>45945</v>
      </c>
      <c r="Q159">
        <v>53.95</v>
      </c>
      <c r="R159">
        <f t="shared" si="27"/>
        <v>-7.3597056117755029E-3</v>
      </c>
      <c r="S159">
        <f t="shared" si="33"/>
        <v>21.733167082294244</v>
      </c>
      <c r="U159" s="1">
        <v>45945</v>
      </c>
      <c r="V159">
        <v>99.6</v>
      </c>
      <c r="W159">
        <f t="shared" si="28"/>
        <v>8.6075949367088039E-3</v>
      </c>
      <c r="X159">
        <f t="shared" si="34"/>
        <v>23.553692357304083</v>
      </c>
      <c r="Z159">
        <f t="shared" si="35"/>
        <v>113.82890015157886</v>
      </c>
      <c r="AA159" s="10">
        <f t="shared" si="29"/>
        <v>6.3419293218607287E-3</v>
      </c>
    </row>
    <row r="160" spans="1:27" x14ac:dyDescent="0.3">
      <c r="A160" s="1">
        <v>45946</v>
      </c>
      <c r="B160" s="2">
        <v>1060.3</v>
      </c>
      <c r="C160">
        <f t="shared" si="24"/>
        <v>1.5807625981988888E-2</v>
      </c>
      <c r="D160">
        <f t="shared" si="30"/>
        <v>22.205235602094238</v>
      </c>
      <c r="F160" s="1">
        <v>45946</v>
      </c>
      <c r="G160">
        <v>399</v>
      </c>
      <c r="H160">
        <f t="shared" si="25"/>
        <v>6.3051702395964691E-3</v>
      </c>
      <c r="I160">
        <f t="shared" si="31"/>
        <v>30.218467812408974</v>
      </c>
      <c r="K160" s="1">
        <v>45946</v>
      </c>
      <c r="L160">
        <v>548.6</v>
      </c>
      <c r="M160">
        <f t="shared" si="26"/>
        <v>5.2221713238662804E-3</v>
      </c>
      <c r="N160">
        <f t="shared" si="32"/>
        <v>16.740191804707965</v>
      </c>
      <c r="P160" s="1">
        <v>45946</v>
      </c>
      <c r="Q160">
        <v>53.73</v>
      </c>
      <c r="R160">
        <f t="shared" si="27"/>
        <v>-4.0778498609825011E-3</v>
      </c>
      <c r="S160">
        <f t="shared" si="33"/>
        <v>21.644542489929002</v>
      </c>
      <c r="U160" s="1">
        <v>45946</v>
      </c>
      <c r="V160">
        <v>99.96</v>
      </c>
      <c r="W160">
        <f t="shared" si="28"/>
        <v>3.6144578313252957E-3</v>
      </c>
      <c r="X160">
        <f t="shared" si="34"/>
        <v>23.638826185101568</v>
      </c>
      <c r="Z160">
        <f t="shared" si="35"/>
        <v>114.44726389424174</v>
      </c>
      <c r="AA160" s="10">
        <f t="shared" si="29"/>
        <v>5.4323967097937853E-3</v>
      </c>
    </row>
    <row r="161" spans="1:27" x14ac:dyDescent="0.3">
      <c r="A161" s="1">
        <v>45947</v>
      </c>
      <c r="B161" s="2">
        <v>1036.7</v>
      </c>
      <c r="C161">
        <f t="shared" si="24"/>
        <v>-2.2257851551447619E-2</v>
      </c>
      <c r="D161">
        <f t="shared" si="30"/>
        <v>21.710994764397903</v>
      </c>
      <c r="F161" s="1">
        <v>45947</v>
      </c>
      <c r="G161">
        <v>397.8</v>
      </c>
      <c r="H161">
        <f t="shared" si="25"/>
        <v>-3.0075187969924528E-3</v>
      </c>
      <c r="I161">
        <f t="shared" si="31"/>
        <v>30.127585202446841</v>
      </c>
      <c r="K161" s="1">
        <v>45947</v>
      </c>
      <c r="L161">
        <v>540.79999999999995</v>
      </c>
      <c r="M161">
        <f t="shared" si="26"/>
        <v>-1.421800947867311E-2</v>
      </c>
      <c r="N161">
        <f t="shared" si="32"/>
        <v>16.50217959895382</v>
      </c>
      <c r="P161" s="1">
        <v>45947</v>
      </c>
      <c r="Q161">
        <v>53.61</v>
      </c>
      <c r="R161">
        <f t="shared" si="27"/>
        <v>-2.2333891680624872E-3</v>
      </c>
      <c r="S161">
        <f t="shared" si="33"/>
        <v>21.596201803184325</v>
      </c>
      <c r="U161" s="1">
        <v>45947</v>
      </c>
      <c r="V161">
        <v>100.01</v>
      </c>
      <c r="W161">
        <f t="shared" si="28"/>
        <v>5.0020008003212656E-4</v>
      </c>
      <c r="X161">
        <f t="shared" si="34"/>
        <v>23.650650327851221</v>
      </c>
      <c r="Z161">
        <f t="shared" si="35"/>
        <v>113.5876116968341</v>
      </c>
      <c r="AA161" s="10">
        <f t="shared" si="29"/>
        <v>-7.5113390059025065E-3</v>
      </c>
    </row>
    <row r="162" spans="1:27" x14ac:dyDescent="0.3">
      <c r="A162" s="1">
        <v>45950</v>
      </c>
      <c r="B162" s="2">
        <v>1034.0999999999999</v>
      </c>
      <c r="C162">
        <f t="shared" si="24"/>
        <v>-2.5079579434746178E-3</v>
      </c>
      <c r="D162">
        <f t="shared" si="30"/>
        <v>21.656544502617795</v>
      </c>
      <c r="F162" s="1">
        <v>45950</v>
      </c>
      <c r="G162">
        <v>399.8</v>
      </c>
      <c r="H162">
        <f t="shared" si="25"/>
        <v>5.0276520864756154E-3</v>
      </c>
      <c r="I162">
        <f t="shared" si="31"/>
        <v>30.279056219050396</v>
      </c>
      <c r="K162" s="1">
        <v>45950</v>
      </c>
      <c r="L162">
        <v>525.20000000000005</v>
      </c>
      <c r="M162">
        <f t="shared" si="26"/>
        <v>-2.8846153846153681E-2</v>
      </c>
      <c r="N162">
        <f t="shared" si="32"/>
        <v>16.026155187445539</v>
      </c>
      <c r="P162" s="1">
        <v>45950</v>
      </c>
      <c r="Q162">
        <v>52.92</v>
      </c>
      <c r="R162">
        <f t="shared" si="27"/>
        <v>-1.2870733072187982E-2</v>
      </c>
      <c r="S162">
        <f t="shared" si="33"/>
        <v>21.318242854402435</v>
      </c>
      <c r="U162" s="1">
        <v>45950</v>
      </c>
      <c r="V162">
        <v>99.98</v>
      </c>
      <c r="W162">
        <f t="shared" si="28"/>
        <v>-2.9997000299971136E-4</v>
      </c>
      <c r="X162">
        <f t="shared" si="34"/>
        <v>23.64355584220143</v>
      </c>
      <c r="Z162">
        <f t="shared" si="35"/>
        <v>112.9235546057176</v>
      </c>
      <c r="AA162" s="10">
        <f t="shared" si="29"/>
        <v>-5.8462105259231567E-3</v>
      </c>
    </row>
    <row r="163" spans="1:27" x14ac:dyDescent="0.3">
      <c r="A163" s="1">
        <v>45951</v>
      </c>
      <c r="B163" s="2">
        <v>1040</v>
      </c>
      <c r="C163">
        <f t="shared" si="24"/>
        <v>5.7054443477420865E-3</v>
      </c>
      <c r="D163">
        <f t="shared" si="30"/>
        <v>21.780104712041879</v>
      </c>
      <c r="F163" s="1">
        <v>45951</v>
      </c>
      <c r="G163">
        <v>398.8</v>
      </c>
      <c r="H163">
        <f t="shared" si="25"/>
        <v>-2.5012506253126563E-3</v>
      </c>
      <c r="I163">
        <f t="shared" si="31"/>
        <v>30.203320710748617</v>
      </c>
      <c r="K163" s="1">
        <v>45951</v>
      </c>
      <c r="L163">
        <v>528.1</v>
      </c>
      <c r="M163">
        <f t="shared" si="26"/>
        <v>5.5217060167554776E-3</v>
      </c>
      <c r="N163">
        <f t="shared" si="32"/>
        <v>16.114646904969511</v>
      </c>
      <c r="P163" s="1">
        <v>45951</v>
      </c>
      <c r="Q163">
        <v>53.09</v>
      </c>
      <c r="R163">
        <f t="shared" si="27"/>
        <v>3.212396069538959E-3</v>
      </c>
      <c r="S163">
        <f t="shared" si="33"/>
        <v>21.386725493957393</v>
      </c>
      <c r="U163" s="1">
        <v>45951</v>
      </c>
      <c r="V163">
        <v>100.55</v>
      </c>
      <c r="W163">
        <f t="shared" si="28"/>
        <v>5.7011402280455403E-3</v>
      </c>
      <c r="X163">
        <f t="shared" si="34"/>
        <v>23.778351069547448</v>
      </c>
      <c r="Z163">
        <f t="shared" si="35"/>
        <v>113.26314889126485</v>
      </c>
      <c r="AA163" s="10">
        <f t="shared" si="29"/>
        <v>3.0072936220699731E-3</v>
      </c>
    </row>
    <row r="164" spans="1:27" x14ac:dyDescent="0.3">
      <c r="A164" s="1">
        <v>45953</v>
      </c>
      <c r="B164" s="2">
        <v>1044.7</v>
      </c>
      <c r="C164">
        <f t="shared" si="24"/>
        <v>4.5192307692308127E-3</v>
      </c>
      <c r="D164">
        <f t="shared" si="30"/>
        <v>21.878534031413608</v>
      </c>
      <c r="F164" s="1">
        <v>45953</v>
      </c>
      <c r="G164">
        <v>397.65</v>
      </c>
      <c r="H164">
        <f t="shared" si="25"/>
        <v>-2.8836509528586611E-3</v>
      </c>
      <c r="I164">
        <f t="shared" si="31"/>
        <v>30.116224876201571</v>
      </c>
      <c r="K164" s="1">
        <v>45953</v>
      </c>
      <c r="L164">
        <v>533.29999999999995</v>
      </c>
      <c r="M164">
        <f t="shared" si="26"/>
        <v>9.8466199583410931E-3</v>
      </c>
      <c r="N164">
        <f t="shared" si="32"/>
        <v>16.273321708805604</v>
      </c>
      <c r="P164" s="1">
        <v>45953</v>
      </c>
      <c r="Q164">
        <v>54.18</v>
      </c>
      <c r="R164">
        <f t="shared" si="27"/>
        <v>2.0531173478997859E-2</v>
      </c>
      <c r="S164">
        <f t="shared" si="33"/>
        <v>21.825820065221539</v>
      </c>
      <c r="U164" s="1">
        <v>45953</v>
      </c>
      <c r="V164">
        <v>100.78</v>
      </c>
      <c r="W164">
        <f t="shared" si="28"/>
        <v>2.287419194430671E-3</v>
      </c>
      <c r="X164">
        <f t="shared" si="34"/>
        <v>23.832742126195843</v>
      </c>
      <c r="Z164">
        <f t="shared" si="35"/>
        <v>113.92664280783816</v>
      </c>
      <c r="AA164" s="10">
        <f t="shared" si="29"/>
        <v>5.8579857885665554E-3</v>
      </c>
    </row>
    <row r="165" spans="1:27" x14ac:dyDescent="0.3">
      <c r="A165" s="1">
        <v>45954</v>
      </c>
      <c r="B165" s="2">
        <v>1031.0999999999999</v>
      </c>
      <c r="C165">
        <f t="shared" si="24"/>
        <v>-1.3018091318081876E-2</v>
      </c>
      <c r="D165">
        <f t="shared" si="30"/>
        <v>21.593717277486903</v>
      </c>
      <c r="F165" s="1">
        <v>45954</v>
      </c>
      <c r="G165">
        <v>396.85</v>
      </c>
      <c r="H165">
        <f t="shared" si="25"/>
        <v>-2.0118194392052171E-3</v>
      </c>
      <c r="I165">
        <f t="shared" si="31"/>
        <v>30.055636469560152</v>
      </c>
      <c r="K165" s="1">
        <v>45954</v>
      </c>
      <c r="L165">
        <v>531.15</v>
      </c>
      <c r="M165">
        <f t="shared" si="26"/>
        <v>-4.031501968873012E-3</v>
      </c>
      <c r="N165">
        <f t="shared" si="32"/>
        <v>16.20771578029645</v>
      </c>
      <c r="P165" s="1">
        <v>45954</v>
      </c>
      <c r="Q165">
        <v>54.53</v>
      </c>
      <c r="R165">
        <f t="shared" si="27"/>
        <v>6.4599483204134632E-3</v>
      </c>
      <c r="S165">
        <f t="shared" si="33"/>
        <v>21.966813734893513</v>
      </c>
      <c r="U165" s="1">
        <v>45954</v>
      </c>
      <c r="V165">
        <v>101.48</v>
      </c>
      <c r="W165">
        <f t="shared" si="28"/>
        <v>6.9458225838460296E-3</v>
      </c>
      <c r="X165">
        <f t="shared" si="34"/>
        <v>23.998280124690954</v>
      </c>
      <c r="Z165">
        <f t="shared" si="35"/>
        <v>113.82216338692798</v>
      </c>
      <c r="AA165" s="10">
        <f t="shared" si="29"/>
        <v>-9.1707627237302969E-4</v>
      </c>
    </row>
    <row r="166" spans="1:27" x14ac:dyDescent="0.3">
      <c r="A166" s="1">
        <v>45957</v>
      </c>
      <c r="B166" s="2">
        <v>1017.1</v>
      </c>
      <c r="C166">
        <f t="shared" si="24"/>
        <v>-1.3577732518669273E-2</v>
      </c>
      <c r="D166">
        <f t="shared" si="30"/>
        <v>21.30052356020942</v>
      </c>
      <c r="F166" s="1">
        <v>45957</v>
      </c>
      <c r="G166">
        <v>400.25</v>
      </c>
      <c r="H166">
        <f t="shared" si="25"/>
        <v>8.5674688169332918E-3</v>
      </c>
      <c r="I166">
        <f t="shared" si="31"/>
        <v>30.31313719778619</v>
      </c>
      <c r="K166" s="1">
        <v>45957</v>
      </c>
      <c r="L166">
        <v>529.35</v>
      </c>
      <c r="M166">
        <f t="shared" si="26"/>
        <v>-3.388873199661027E-3</v>
      </c>
      <c r="N166">
        <f t="shared" si="32"/>
        <v>16.15278988666088</v>
      </c>
      <c r="P166" s="1">
        <v>45957</v>
      </c>
      <c r="Q166">
        <v>53.82</v>
      </c>
      <c r="R166">
        <f t="shared" si="27"/>
        <v>-1.3020355767467464E-2</v>
      </c>
      <c r="S166">
        <f t="shared" si="33"/>
        <v>21.680798004987508</v>
      </c>
      <c r="U166" s="1">
        <v>45957</v>
      </c>
      <c r="V166">
        <v>101.01</v>
      </c>
      <c r="W166">
        <f t="shared" si="28"/>
        <v>-4.6314544737879274E-3</v>
      </c>
      <c r="X166">
        <f t="shared" si="34"/>
        <v>23.887133182844238</v>
      </c>
      <c r="Z166">
        <f t="shared" si="35"/>
        <v>113.33438183248825</v>
      </c>
      <c r="AA166" s="10">
        <f t="shared" si="29"/>
        <v>-4.2854707723447572E-3</v>
      </c>
    </row>
    <row r="167" spans="1:27" x14ac:dyDescent="0.3">
      <c r="A167" s="1">
        <v>45958</v>
      </c>
      <c r="B167" s="2">
        <v>1004.2</v>
      </c>
      <c r="C167">
        <f t="shared" si="24"/>
        <v>-1.2683118670730485E-2</v>
      </c>
      <c r="D167">
        <f t="shared" si="30"/>
        <v>21.030366492146594</v>
      </c>
      <c r="F167" s="1">
        <v>45958</v>
      </c>
      <c r="G167">
        <v>398.65</v>
      </c>
      <c r="H167">
        <f t="shared" si="25"/>
        <v>-3.9975015615241047E-3</v>
      </c>
      <c r="I167">
        <f t="shared" si="31"/>
        <v>30.191960384503346</v>
      </c>
      <c r="K167" s="1">
        <v>45958</v>
      </c>
      <c r="L167">
        <v>536.35</v>
      </c>
      <c r="M167">
        <f t="shared" si="26"/>
        <v>1.3223764994804949E-2</v>
      </c>
      <c r="N167">
        <f t="shared" si="32"/>
        <v>16.366390584132546</v>
      </c>
      <c r="P167" s="1">
        <v>45958</v>
      </c>
      <c r="Q167">
        <v>53.71</v>
      </c>
      <c r="R167">
        <f t="shared" si="27"/>
        <v>-2.0438498699368161E-3</v>
      </c>
      <c r="S167">
        <f t="shared" si="33"/>
        <v>21.636485708804891</v>
      </c>
      <c r="U167" s="1">
        <v>45958</v>
      </c>
      <c r="V167">
        <v>101.59</v>
      </c>
      <c r="W167">
        <f t="shared" si="28"/>
        <v>5.7420057420057248E-3</v>
      </c>
      <c r="X167">
        <f t="shared" si="34"/>
        <v>24.024293238740185</v>
      </c>
      <c r="Z167">
        <f t="shared" si="35"/>
        <v>113.24949640832757</v>
      </c>
      <c r="AA167" s="10">
        <f t="shared" si="29"/>
        <v>-7.4898210753149286E-4</v>
      </c>
    </row>
    <row r="168" spans="1:27" x14ac:dyDescent="0.3">
      <c r="A168" s="1">
        <v>45959</v>
      </c>
      <c r="B168" s="2">
        <v>1112.5999999999999</v>
      </c>
      <c r="C168">
        <f t="shared" si="24"/>
        <v>0.10794662417845037</v>
      </c>
      <c r="D168">
        <f t="shared" si="30"/>
        <v>23.300523560209417</v>
      </c>
      <c r="F168" s="1">
        <v>45959</v>
      </c>
      <c r="G168">
        <v>410.7</v>
      </c>
      <c r="H168">
        <f t="shared" si="25"/>
        <v>3.02270161796062E-2</v>
      </c>
      <c r="I168">
        <f t="shared" si="31"/>
        <v>31.104573259539755</v>
      </c>
      <c r="K168" s="1">
        <v>45959</v>
      </c>
      <c r="L168">
        <v>534.45000000000005</v>
      </c>
      <c r="M168">
        <f t="shared" si="26"/>
        <v>-3.5424629439731094E-3</v>
      </c>
      <c r="N168">
        <f t="shared" si="32"/>
        <v>16.308413251961667</v>
      </c>
      <c r="P168" s="1">
        <v>45959</v>
      </c>
      <c r="Q168">
        <v>53.71</v>
      </c>
      <c r="R168">
        <f t="shared" si="27"/>
        <v>0</v>
      </c>
      <c r="S168">
        <f t="shared" si="33"/>
        <v>21.636485708804891</v>
      </c>
      <c r="U168" s="1">
        <v>45959</v>
      </c>
      <c r="V168">
        <v>105.04</v>
      </c>
      <c r="W168">
        <f t="shared" si="28"/>
        <v>3.396003543655874E-2</v>
      </c>
      <c r="X168">
        <f t="shared" si="34"/>
        <v>24.840159088466081</v>
      </c>
      <c r="Z168">
        <f t="shared" si="35"/>
        <v>117.19015486898181</v>
      </c>
      <c r="AA168" s="10">
        <f t="shared" si="29"/>
        <v>3.4796255927231456E-2</v>
      </c>
    </row>
    <row r="169" spans="1:27" x14ac:dyDescent="0.3">
      <c r="A169" s="1">
        <v>45960</v>
      </c>
      <c r="B169" s="2">
        <v>1140.0999999999999</v>
      </c>
      <c r="C169">
        <f t="shared" si="24"/>
        <v>2.4716879381628618E-2</v>
      </c>
      <c r="D169">
        <f t="shared" si="30"/>
        <v>23.876439790575908</v>
      </c>
      <c r="F169" s="1">
        <v>45960</v>
      </c>
      <c r="G169">
        <v>409.8</v>
      </c>
      <c r="H169">
        <f t="shared" si="25"/>
        <v>-2.191380569758893E-3</v>
      </c>
      <c r="I169">
        <f t="shared" si="31"/>
        <v>31.03641130206816</v>
      </c>
      <c r="K169" s="1">
        <v>45960</v>
      </c>
      <c r="L169">
        <v>538.15</v>
      </c>
      <c r="M169">
        <f t="shared" si="26"/>
        <v>6.9230049583682883E-3</v>
      </c>
      <c r="N169">
        <f t="shared" si="32"/>
        <v>16.421316477768119</v>
      </c>
      <c r="P169" s="1">
        <v>45960</v>
      </c>
      <c r="Q169">
        <v>56.22</v>
      </c>
      <c r="R169">
        <f t="shared" si="27"/>
        <v>4.6732452057344963E-2</v>
      </c>
      <c r="S169">
        <f t="shared" si="33"/>
        <v>22.647611739881043</v>
      </c>
      <c r="U169" s="1">
        <v>45960</v>
      </c>
      <c r="V169">
        <v>104.6</v>
      </c>
      <c r="W169">
        <f t="shared" si="28"/>
        <v>-4.1888804265043022E-3</v>
      </c>
      <c r="X169">
        <f t="shared" si="34"/>
        <v>24.736106632269152</v>
      </c>
      <c r="Z169">
        <f t="shared" si="35"/>
        <v>118.71788594256239</v>
      </c>
      <c r="AA169" s="10">
        <f t="shared" si="29"/>
        <v>1.3036343157738717E-2</v>
      </c>
    </row>
    <row r="170" spans="1:27" x14ac:dyDescent="0.3">
      <c r="A170" s="1">
        <v>45961</v>
      </c>
      <c r="B170" s="2">
        <v>1140</v>
      </c>
      <c r="C170">
        <f t="shared" si="24"/>
        <v>-8.7711604245161882E-5</v>
      </c>
      <c r="D170">
        <f t="shared" si="30"/>
        <v>23.874345549738216</v>
      </c>
      <c r="F170" s="1">
        <v>45961</v>
      </c>
      <c r="G170">
        <v>404.9</v>
      </c>
      <c r="H170">
        <f t="shared" si="25"/>
        <v>-1.1957052220595496E-2</v>
      </c>
      <c r="I170">
        <f t="shared" si="31"/>
        <v>30.665307311389451</v>
      </c>
      <c r="K170" s="1">
        <v>45961</v>
      </c>
      <c r="L170">
        <v>527.45000000000005</v>
      </c>
      <c r="M170">
        <f t="shared" si="26"/>
        <v>-1.9882932267954904E-2</v>
      </c>
      <c r="N170">
        <f t="shared" si="32"/>
        <v>16.094812554490005</v>
      </c>
      <c r="P170" s="1">
        <v>45961</v>
      </c>
      <c r="Q170">
        <v>58.19</v>
      </c>
      <c r="R170">
        <f t="shared" si="27"/>
        <v>3.5040910707933103E-2</v>
      </c>
      <c r="S170">
        <f t="shared" si="33"/>
        <v>23.441204680606152</v>
      </c>
      <c r="U170" s="1">
        <v>45961</v>
      </c>
      <c r="V170">
        <v>103.14</v>
      </c>
      <c r="W170">
        <f t="shared" si="28"/>
        <v>-1.3957934990439711E-2</v>
      </c>
      <c r="X170">
        <f t="shared" si="34"/>
        <v>24.390841663979355</v>
      </c>
      <c r="Z170">
        <f t="shared" si="35"/>
        <v>118.46651176020319</v>
      </c>
      <c r="AA170" s="10">
        <f t="shared" si="29"/>
        <v>-2.1174078392940388E-3</v>
      </c>
    </row>
    <row r="171" spans="1:27" x14ac:dyDescent="0.3">
      <c r="A171" s="1">
        <v>45964</v>
      </c>
      <c r="B171" s="2">
        <v>1105.2</v>
      </c>
      <c r="C171">
        <f t="shared" si="24"/>
        <v>-3.0526315789473644E-2</v>
      </c>
      <c r="D171">
        <f t="shared" si="30"/>
        <v>23.145549738219891</v>
      </c>
      <c r="F171" s="1">
        <v>45964</v>
      </c>
      <c r="G171">
        <v>408.6</v>
      </c>
      <c r="H171">
        <f t="shared" si="25"/>
        <v>9.1380587799457791E-3</v>
      </c>
      <c r="I171">
        <f t="shared" si="31"/>
        <v>30.945528692106034</v>
      </c>
      <c r="K171" s="1">
        <v>45964</v>
      </c>
      <c r="L171">
        <v>532.9</v>
      </c>
      <c r="M171">
        <f t="shared" si="26"/>
        <v>1.0332732960470057E-2</v>
      </c>
      <c r="N171">
        <f t="shared" si="32"/>
        <v>16.261115954664373</v>
      </c>
      <c r="P171" s="1">
        <v>45964</v>
      </c>
      <c r="Q171">
        <v>58.51</v>
      </c>
      <c r="R171">
        <f t="shared" si="27"/>
        <v>5.4992266712493611E-3</v>
      </c>
      <c r="S171">
        <f t="shared" si="33"/>
        <v>23.57011317859196</v>
      </c>
      <c r="U171" s="1">
        <v>45964</v>
      </c>
      <c r="V171">
        <v>103</v>
      </c>
      <c r="W171">
        <f t="shared" si="28"/>
        <v>-1.3573783207291115E-3</v>
      </c>
      <c r="X171">
        <f t="shared" si="34"/>
        <v>24.357734064280333</v>
      </c>
      <c r="Z171">
        <f t="shared" si="35"/>
        <v>118.2800416278626</v>
      </c>
      <c r="AA171" s="10">
        <f t="shared" si="29"/>
        <v>-1.5740324381123827E-3</v>
      </c>
    </row>
    <row r="172" spans="1:27" x14ac:dyDescent="0.3">
      <c r="A172" s="1">
        <v>45965</v>
      </c>
      <c r="B172" s="2">
        <v>1086.4000000000001</v>
      </c>
      <c r="C172">
        <f t="shared" si="24"/>
        <v>-1.701049583785736E-2</v>
      </c>
      <c r="D172">
        <f t="shared" si="30"/>
        <v>22.751832460732981</v>
      </c>
      <c r="F172" s="1">
        <v>45965</v>
      </c>
      <c r="G172">
        <v>400.6</v>
      </c>
      <c r="H172">
        <f t="shared" si="25"/>
        <v>-1.957905041605482E-2</v>
      </c>
      <c r="I172">
        <f t="shared" si="31"/>
        <v>30.339644625691822</v>
      </c>
      <c r="K172" s="1">
        <v>45965</v>
      </c>
      <c r="L172">
        <v>528.1</v>
      </c>
      <c r="M172">
        <f t="shared" si="26"/>
        <v>-9.007318446237483E-3</v>
      </c>
      <c r="N172">
        <f t="shared" si="32"/>
        <v>16.114646904969518</v>
      </c>
      <c r="P172" s="1">
        <v>45965</v>
      </c>
      <c r="Q172">
        <v>59.3</v>
      </c>
      <c r="R172">
        <f t="shared" si="27"/>
        <v>1.3501965475986996E-2</v>
      </c>
      <c r="S172">
        <f t="shared" si="33"/>
        <v>23.888356032994412</v>
      </c>
      <c r="U172" s="1">
        <v>45965</v>
      </c>
      <c r="V172">
        <v>100.74</v>
      </c>
      <c r="W172">
        <f t="shared" si="28"/>
        <v>-2.1941747572815584E-2</v>
      </c>
      <c r="X172">
        <f t="shared" si="34"/>
        <v>23.823282811996123</v>
      </c>
      <c r="Z172">
        <f t="shared" si="35"/>
        <v>116.91776283638485</v>
      </c>
      <c r="AA172" s="10">
        <f t="shared" si="29"/>
        <v>-1.1517402029361801E-2</v>
      </c>
    </row>
    <row r="173" spans="1:27" x14ac:dyDescent="0.3">
      <c r="A173" s="1">
        <v>45967</v>
      </c>
      <c r="B173" s="2">
        <v>1060.5</v>
      </c>
      <c r="C173">
        <f t="shared" si="24"/>
        <v>-2.3840206185567092E-2</v>
      </c>
      <c r="D173">
        <f t="shared" si="30"/>
        <v>22.209424083769626</v>
      </c>
      <c r="F173" s="1">
        <v>45967</v>
      </c>
      <c r="G173">
        <v>391.75</v>
      </c>
      <c r="H173">
        <f t="shared" si="25"/>
        <v>-2.209186220669002E-2</v>
      </c>
      <c r="I173">
        <f t="shared" si="31"/>
        <v>29.669385377221094</v>
      </c>
      <c r="K173" s="1">
        <v>45967</v>
      </c>
      <c r="L173">
        <v>517.35</v>
      </c>
      <c r="M173">
        <f t="shared" si="26"/>
        <v>-2.035599318310926E-2</v>
      </c>
      <c r="N173">
        <f t="shared" si="32"/>
        <v>15.786617262423746</v>
      </c>
      <c r="P173" s="1">
        <v>45967</v>
      </c>
      <c r="Q173">
        <v>59.24</v>
      </c>
      <c r="R173">
        <f t="shared" si="27"/>
        <v>-1.0118043844855847E-3</v>
      </c>
      <c r="S173">
        <f t="shared" si="33"/>
        <v>23.864185689622076</v>
      </c>
      <c r="U173" s="1">
        <v>45967</v>
      </c>
      <c r="V173">
        <v>99.63</v>
      </c>
      <c r="W173">
        <f t="shared" si="28"/>
        <v>-1.1018463371054193E-2</v>
      </c>
      <c r="X173">
        <f t="shared" si="34"/>
        <v>23.560786842953878</v>
      </c>
      <c r="Z173">
        <f t="shared" si="35"/>
        <v>115.09039925599041</v>
      </c>
      <c r="AA173" s="10">
        <f t="shared" si="29"/>
        <v>-1.5629477814689818E-2</v>
      </c>
    </row>
    <row r="174" spans="1:27" x14ac:dyDescent="0.3">
      <c r="A174" s="1">
        <v>45968</v>
      </c>
      <c r="B174" s="2">
        <v>1059.8</v>
      </c>
      <c r="C174">
        <f t="shared" si="24"/>
        <v>-6.600660066007029E-4</v>
      </c>
      <c r="D174">
        <f t="shared" si="30"/>
        <v>22.19476439790575</v>
      </c>
      <c r="F174" s="1">
        <v>45968</v>
      </c>
      <c r="G174">
        <v>393.2</v>
      </c>
      <c r="H174">
        <f t="shared" si="25"/>
        <v>3.7013401403956313E-3</v>
      </c>
      <c r="I174">
        <f t="shared" si="31"/>
        <v>29.779201864258667</v>
      </c>
      <c r="K174" s="1">
        <v>45968</v>
      </c>
      <c r="L174">
        <v>519.15</v>
      </c>
      <c r="M174">
        <f t="shared" si="26"/>
        <v>3.4792693534356905E-3</v>
      </c>
      <c r="N174">
        <f t="shared" si="32"/>
        <v>15.841543156059318</v>
      </c>
      <c r="P174" s="1">
        <v>45968</v>
      </c>
      <c r="Q174">
        <v>59.99</v>
      </c>
      <c r="R174">
        <f t="shared" si="27"/>
        <v>1.2660364618501013E-2</v>
      </c>
      <c r="S174">
        <f t="shared" si="33"/>
        <v>24.166314981776306</v>
      </c>
      <c r="U174" s="1">
        <v>45968</v>
      </c>
      <c r="V174">
        <v>98.96</v>
      </c>
      <c r="W174">
        <f t="shared" si="28"/>
        <v>-6.724882063635469E-3</v>
      </c>
      <c r="X174">
        <f t="shared" si="34"/>
        <v>23.402343330108561</v>
      </c>
      <c r="Z174">
        <f t="shared" si="35"/>
        <v>115.3841677301086</v>
      </c>
      <c r="AA174" s="10">
        <f t="shared" si="29"/>
        <v>2.5525019985792596E-3</v>
      </c>
    </row>
    <row r="175" spans="1:27" x14ac:dyDescent="0.3">
      <c r="A175" s="1">
        <v>45971</v>
      </c>
      <c r="B175" s="2">
        <v>1041.3</v>
      </c>
      <c r="C175">
        <f t="shared" si="24"/>
        <v>-1.7456123796942821E-2</v>
      </c>
      <c r="D175">
        <f t="shared" si="30"/>
        <v>21.807329842931928</v>
      </c>
      <c r="F175" s="1">
        <v>45971</v>
      </c>
      <c r="G175">
        <v>395.85</v>
      </c>
      <c r="H175">
        <f t="shared" si="25"/>
        <v>6.7395727365209416E-3</v>
      </c>
      <c r="I175">
        <f t="shared" si="31"/>
        <v>29.979900961258377</v>
      </c>
      <c r="K175" s="1">
        <v>45971</v>
      </c>
      <c r="L175">
        <v>522.5</v>
      </c>
      <c r="M175">
        <f t="shared" si="26"/>
        <v>6.4528556293942463E-3</v>
      </c>
      <c r="N175">
        <f t="shared" si="32"/>
        <v>15.94376634699219</v>
      </c>
      <c r="P175" s="1">
        <v>45971</v>
      </c>
      <c r="Q175">
        <v>59.61</v>
      </c>
      <c r="R175">
        <f t="shared" si="27"/>
        <v>-6.3343890648441831E-3</v>
      </c>
      <c r="S175">
        <f t="shared" si="33"/>
        <v>24.013236140418162</v>
      </c>
      <c r="U175" s="1">
        <v>45971</v>
      </c>
      <c r="V175">
        <v>97.92</v>
      </c>
      <c r="W175">
        <f t="shared" si="28"/>
        <v>-1.0509296685529428E-2</v>
      </c>
      <c r="X175">
        <f t="shared" si="34"/>
        <v>23.156401160915827</v>
      </c>
      <c r="Z175">
        <f t="shared" si="35"/>
        <v>114.9006344525165</v>
      </c>
      <c r="AA175" s="10">
        <f t="shared" si="29"/>
        <v>-4.1906379974341323E-3</v>
      </c>
    </row>
    <row r="176" spans="1:27" x14ac:dyDescent="0.3">
      <c r="A176" s="1">
        <v>45972</v>
      </c>
      <c r="B176" s="2">
        <v>1044.2</v>
      </c>
      <c r="C176">
        <f t="shared" si="24"/>
        <v>2.7849803130702883E-3</v>
      </c>
      <c r="D176">
        <f t="shared" si="30"/>
        <v>21.868062827225128</v>
      </c>
      <c r="F176" s="1">
        <v>45972</v>
      </c>
      <c r="G176">
        <v>395.6</v>
      </c>
      <c r="H176">
        <f t="shared" si="25"/>
        <v>-6.3155235569028665E-4</v>
      </c>
      <c r="I176">
        <f t="shared" si="31"/>
        <v>29.960967084182933</v>
      </c>
      <c r="K176" s="1">
        <v>45972</v>
      </c>
      <c r="L176">
        <v>526.85</v>
      </c>
      <c r="M176">
        <f t="shared" si="26"/>
        <v>8.3253588516746854E-3</v>
      </c>
      <c r="N176">
        <f t="shared" si="32"/>
        <v>16.076503923278153</v>
      </c>
      <c r="P176" s="1">
        <v>45972</v>
      </c>
      <c r="Q176">
        <v>57.38</v>
      </c>
      <c r="R176">
        <f t="shared" si="27"/>
        <v>-3.7409830565341334E-2</v>
      </c>
      <c r="S176">
        <f t="shared" si="33"/>
        <v>23.114905045079588</v>
      </c>
      <c r="U176" s="1">
        <v>45972</v>
      </c>
      <c r="V176">
        <v>98.01</v>
      </c>
      <c r="W176">
        <f t="shared" si="28"/>
        <v>9.1911764705885832E-4</v>
      </c>
      <c r="X176">
        <f t="shared" si="34"/>
        <v>23.1776846178652</v>
      </c>
      <c r="Z176">
        <f t="shared" si="35"/>
        <v>114.19812349763102</v>
      </c>
      <c r="AA176" s="10">
        <f t="shared" si="29"/>
        <v>-6.1140737667187972E-3</v>
      </c>
    </row>
    <row r="177" spans="1:27" x14ac:dyDescent="0.3">
      <c r="A177" s="1">
        <v>45973</v>
      </c>
      <c r="B177" s="2">
        <v>1070.8</v>
      </c>
      <c r="C177">
        <f t="shared" si="24"/>
        <v>2.5474047117410369E-2</v>
      </c>
      <c r="D177">
        <f t="shared" si="30"/>
        <v>22.425130890052351</v>
      </c>
      <c r="F177" s="1">
        <v>45973</v>
      </c>
      <c r="G177">
        <v>388.65</v>
      </c>
      <c r="H177">
        <f t="shared" si="25"/>
        <v>-1.7568250758341872E-2</v>
      </c>
      <c r="I177">
        <f t="shared" si="31"/>
        <v>29.434605301485579</v>
      </c>
      <c r="K177" s="1">
        <v>45973</v>
      </c>
      <c r="L177">
        <v>528.04999999999995</v>
      </c>
      <c r="M177">
        <f t="shared" si="26"/>
        <v>2.2776881465311413E-3</v>
      </c>
      <c r="N177">
        <f t="shared" si="32"/>
        <v>16.113121185701864</v>
      </c>
      <c r="P177" s="1">
        <v>45973</v>
      </c>
      <c r="Q177">
        <v>57.43</v>
      </c>
      <c r="R177">
        <f t="shared" si="27"/>
        <v>8.7138375740671231E-4</v>
      </c>
      <c r="S177">
        <f t="shared" si="33"/>
        <v>23.135046997889873</v>
      </c>
      <c r="U177" s="1">
        <v>45973</v>
      </c>
      <c r="V177">
        <v>98.83</v>
      </c>
      <c r="W177">
        <f t="shared" si="28"/>
        <v>8.3664932149779929E-3</v>
      </c>
      <c r="X177">
        <f t="shared" si="34"/>
        <v>23.371600558959472</v>
      </c>
      <c r="Z177">
        <f t="shared" si="35"/>
        <v>114.47950493408914</v>
      </c>
      <c r="AA177" s="10">
        <f t="shared" si="29"/>
        <v>2.4639760080116258E-3</v>
      </c>
    </row>
    <row r="178" spans="1:27" x14ac:dyDescent="0.3">
      <c r="A178" s="1">
        <v>45974</v>
      </c>
      <c r="B178" s="2">
        <v>1076.8</v>
      </c>
      <c r="C178">
        <f t="shared" si="24"/>
        <v>5.6032872618602915E-3</v>
      </c>
      <c r="D178">
        <f t="shared" si="30"/>
        <v>22.550785340314132</v>
      </c>
      <c r="F178" s="1">
        <v>45974</v>
      </c>
      <c r="G178">
        <v>388.8</v>
      </c>
      <c r="H178">
        <f t="shared" si="25"/>
        <v>3.8595137012745174E-4</v>
      </c>
      <c r="I178">
        <f t="shared" si="31"/>
        <v>29.445965627730846</v>
      </c>
      <c r="K178" s="1">
        <v>45974</v>
      </c>
      <c r="L178">
        <v>528.29999999999995</v>
      </c>
      <c r="M178">
        <f t="shared" si="26"/>
        <v>4.7344001515008051E-4</v>
      </c>
      <c r="N178">
        <f t="shared" si="32"/>
        <v>16.120749782040136</v>
      </c>
      <c r="P178" s="1">
        <v>45974</v>
      </c>
      <c r="Q178">
        <v>57.82</v>
      </c>
      <c r="R178">
        <f t="shared" si="27"/>
        <v>6.7908758488594914E-3</v>
      </c>
      <c r="S178">
        <f t="shared" si="33"/>
        <v>23.292154229810073</v>
      </c>
      <c r="U178" s="1">
        <v>45974</v>
      </c>
      <c r="V178">
        <v>99.11</v>
      </c>
      <c r="W178">
        <f t="shared" si="28"/>
        <v>2.8331478296064064E-3</v>
      </c>
      <c r="X178">
        <f t="shared" si="34"/>
        <v>23.437815758357516</v>
      </c>
      <c r="Z178">
        <f t="shared" si="35"/>
        <v>114.84747073825271</v>
      </c>
      <c r="AA178" s="10">
        <f t="shared" si="29"/>
        <v>3.2142504841843333E-3</v>
      </c>
    </row>
    <row r="179" spans="1:27" x14ac:dyDescent="0.3">
      <c r="A179" s="1">
        <v>45975</v>
      </c>
      <c r="B179" s="2">
        <v>1068.8</v>
      </c>
      <c r="C179">
        <f t="shared" si="24"/>
        <v>-7.4294205052005948E-3</v>
      </c>
      <c r="D179">
        <f t="shared" si="30"/>
        <v>22.383246073298427</v>
      </c>
      <c r="F179" s="1">
        <v>45975</v>
      </c>
      <c r="G179">
        <v>388.4</v>
      </c>
      <c r="H179">
        <f t="shared" si="25"/>
        <v>-1.0288065843622276E-3</v>
      </c>
      <c r="I179">
        <f t="shared" si="31"/>
        <v>29.415671424410132</v>
      </c>
      <c r="K179" s="1">
        <v>45975</v>
      </c>
      <c r="L179">
        <v>528.79999999999995</v>
      </c>
      <c r="M179">
        <f t="shared" si="26"/>
        <v>9.4643195154268413E-4</v>
      </c>
      <c r="N179">
        <f t="shared" si="32"/>
        <v>16.136006974716683</v>
      </c>
      <c r="P179" s="1">
        <v>45975</v>
      </c>
      <c r="Q179">
        <v>58.48</v>
      </c>
      <c r="R179">
        <f t="shared" si="27"/>
        <v>1.1414735385679636E-2</v>
      </c>
      <c r="S179">
        <f t="shared" si="33"/>
        <v>23.558028006905797</v>
      </c>
      <c r="U179" s="1">
        <v>45975</v>
      </c>
      <c r="V179">
        <v>98.48</v>
      </c>
      <c r="W179">
        <f t="shared" si="28"/>
        <v>-6.3565735041872205E-3</v>
      </c>
      <c r="X179">
        <f t="shared" si="34"/>
        <v>23.28883155971192</v>
      </c>
      <c r="Z179">
        <f t="shared" si="35"/>
        <v>114.78178403904296</v>
      </c>
      <c r="AA179" s="10">
        <f t="shared" si="29"/>
        <v>-5.7194728614839985E-4</v>
      </c>
    </row>
    <row r="180" spans="1:27" x14ac:dyDescent="0.3">
      <c r="A180" s="1">
        <v>45978</v>
      </c>
      <c r="B180" s="2">
        <v>1088.5999999999999</v>
      </c>
      <c r="C180">
        <f t="shared" si="24"/>
        <v>1.8525449101796366E-2</v>
      </c>
      <c r="D180">
        <f t="shared" si="30"/>
        <v>22.797905759162298</v>
      </c>
      <c r="F180" s="1">
        <v>45978</v>
      </c>
      <c r="G180">
        <v>392.75</v>
      </c>
      <c r="H180">
        <f t="shared" si="25"/>
        <v>1.1199794026776578E-2</v>
      </c>
      <c r="I180">
        <f t="shared" si="31"/>
        <v>29.745120885522862</v>
      </c>
      <c r="K180" s="1">
        <v>45978</v>
      </c>
      <c r="L180">
        <v>527.65</v>
      </c>
      <c r="M180">
        <f t="shared" si="26"/>
        <v>-2.1747352496217422E-3</v>
      </c>
      <c r="N180">
        <f t="shared" si="32"/>
        <v>16.100915431560622</v>
      </c>
      <c r="P180" s="1">
        <v>45978</v>
      </c>
      <c r="Q180">
        <v>57.58</v>
      </c>
      <c r="R180">
        <f t="shared" si="27"/>
        <v>-1.5389876880984929E-2</v>
      </c>
      <c r="S180">
        <f t="shared" si="33"/>
        <v>23.195472856320723</v>
      </c>
      <c r="U180" s="1">
        <v>45978</v>
      </c>
      <c r="V180">
        <v>99.18</v>
      </c>
      <c r="W180">
        <f t="shared" si="28"/>
        <v>7.1080422420796386E-3</v>
      </c>
      <c r="X180">
        <f t="shared" si="34"/>
        <v>23.454369558207031</v>
      </c>
      <c r="Z180">
        <f t="shared" si="35"/>
        <v>115.29378449077353</v>
      </c>
      <c r="AA180" s="10">
        <f t="shared" si="29"/>
        <v>4.4606420436574812E-3</v>
      </c>
    </row>
    <row r="181" spans="1:27" x14ac:dyDescent="0.3">
      <c r="A181" s="1">
        <v>45979</v>
      </c>
      <c r="B181" s="2">
        <v>1088.5999999999999</v>
      </c>
      <c r="C181">
        <f t="shared" si="24"/>
        <v>0</v>
      </c>
      <c r="D181">
        <f t="shared" si="30"/>
        <v>22.797905759162298</v>
      </c>
      <c r="F181" s="1">
        <v>45979</v>
      </c>
      <c r="G181">
        <v>386.25</v>
      </c>
      <c r="H181">
        <f t="shared" si="25"/>
        <v>-1.6549968173138127E-2</v>
      </c>
      <c r="I181">
        <f t="shared" si="31"/>
        <v>29.252840081561313</v>
      </c>
      <c r="K181" s="1">
        <v>45979</v>
      </c>
      <c r="L181">
        <v>527.65</v>
      </c>
      <c r="M181">
        <f t="shared" si="26"/>
        <v>0</v>
      </c>
      <c r="N181">
        <f t="shared" si="32"/>
        <v>16.100915431560622</v>
      </c>
      <c r="P181" s="1">
        <v>45979</v>
      </c>
      <c r="Q181">
        <v>57.68</v>
      </c>
      <c r="R181">
        <f t="shared" si="27"/>
        <v>1.7367141368530986E-3</v>
      </c>
      <c r="S181">
        <f t="shared" si="33"/>
        <v>23.235756761941289</v>
      </c>
      <c r="U181" s="1">
        <v>45979</v>
      </c>
      <c r="V181">
        <v>98.26</v>
      </c>
      <c r="W181">
        <f t="shared" si="28"/>
        <v>-9.2760637225247199E-3</v>
      </c>
      <c r="X181">
        <f t="shared" si="34"/>
        <v>23.236805331613457</v>
      </c>
      <c r="Z181">
        <f t="shared" si="35"/>
        <v>114.62422336583899</v>
      </c>
      <c r="AA181" s="10">
        <f t="shared" si="29"/>
        <v>-5.8074347016350281E-3</v>
      </c>
    </row>
    <row r="182" spans="1:27" x14ac:dyDescent="0.3">
      <c r="A182" s="1">
        <v>45980</v>
      </c>
      <c r="B182" s="2">
        <v>1069.9000000000001</v>
      </c>
      <c r="C182">
        <f t="shared" si="24"/>
        <v>-1.7178026823442789E-2</v>
      </c>
      <c r="D182">
        <f t="shared" si="30"/>
        <v>22.406282722513087</v>
      </c>
      <c r="F182" s="1">
        <v>45980</v>
      </c>
      <c r="G182">
        <v>389.1</v>
      </c>
      <c r="H182">
        <f t="shared" si="25"/>
        <v>7.3786407766990884E-3</v>
      </c>
      <c r="I182">
        <f t="shared" si="31"/>
        <v>29.46868628022138</v>
      </c>
      <c r="K182" s="1">
        <v>45980</v>
      </c>
      <c r="L182">
        <v>526.95000000000005</v>
      </c>
      <c r="M182">
        <f t="shared" si="26"/>
        <v>-1.3266369752675672E-3</v>
      </c>
      <c r="N182">
        <f t="shared" si="32"/>
        <v>16.079555361813458</v>
      </c>
      <c r="P182" s="1">
        <v>45980</v>
      </c>
      <c r="Q182">
        <v>57.7</v>
      </c>
      <c r="R182">
        <f t="shared" si="27"/>
        <v>3.4674063800282814E-4</v>
      </c>
      <c r="S182">
        <f t="shared" si="33"/>
        <v>23.243813543065404</v>
      </c>
      <c r="U182" s="1">
        <v>45980</v>
      </c>
      <c r="V182">
        <v>98.18</v>
      </c>
      <c r="W182">
        <f t="shared" si="28"/>
        <v>-8.141664970486291E-4</v>
      </c>
      <c r="X182">
        <f t="shared" si="34"/>
        <v>23.217886703214017</v>
      </c>
      <c r="Z182">
        <f t="shared" si="35"/>
        <v>114.41622461082734</v>
      </c>
      <c r="AA182" s="10">
        <f t="shared" si="29"/>
        <v>-1.8146143014446947E-3</v>
      </c>
    </row>
    <row r="183" spans="1:27" x14ac:dyDescent="0.3">
      <c r="A183" s="1">
        <v>45981</v>
      </c>
      <c r="B183" s="2">
        <v>1060</v>
      </c>
      <c r="C183">
        <f t="shared" si="24"/>
        <v>-9.2532012337602481E-3</v>
      </c>
      <c r="D183">
        <f t="shared" si="30"/>
        <v>22.198952879581146</v>
      </c>
      <c r="F183" s="1">
        <v>45981</v>
      </c>
      <c r="G183">
        <v>388.1</v>
      </c>
      <c r="H183">
        <f t="shared" si="25"/>
        <v>-2.5700334104343356E-3</v>
      </c>
      <c r="I183">
        <f t="shared" si="31"/>
        <v>29.392950771919601</v>
      </c>
      <c r="K183" s="1">
        <v>45981</v>
      </c>
      <c r="L183">
        <v>513.65</v>
      </c>
      <c r="M183">
        <f t="shared" si="26"/>
        <v>-2.5239586298510423E-2</v>
      </c>
      <c r="N183">
        <f t="shared" si="32"/>
        <v>15.673714036617291</v>
      </c>
      <c r="P183" s="1">
        <v>45981</v>
      </c>
      <c r="Q183">
        <v>56.9</v>
      </c>
      <c r="R183">
        <f t="shared" si="27"/>
        <v>-1.3864818024263505E-2</v>
      </c>
      <c r="S183">
        <f t="shared" si="33"/>
        <v>22.921542298100889</v>
      </c>
      <c r="U183" s="1">
        <v>45981</v>
      </c>
      <c r="V183">
        <v>97.5</v>
      </c>
      <c r="W183">
        <f t="shared" si="28"/>
        <v>-6.9260541861887025E-3</v>
      </c>
      <c r="X183">
        <f t="shared" si="34"/>
        <v>23.057078361818764</v>
      </c>
      <c r="Z183">
        <f t="shared" si="35"/>
        <v>113.24423834803768</v>
      </c>
      <c r="AA183" s="10">
        <f t="shared" si="29"/>
        <v>-1.0243182440043186E-2</v>
      </c>
    </row>
    <row r="184" spans="1:27" x14ac:dyDescent="0.3">
      <c r="A184" s="1">
        <v>45982</v>
      </c>
      <c r="B184" s="2">
        <v>1030.5</v>
      </c>
      <c r="C184">
        <f t="shared" si="24"/>
        <v>-2.7830188679245284E-2</v>
      </c>
      <c r="D184">
        <f t="shared" si="30"/>
        <v>21.581151832460726</v>
      </c>
      <c r="F184" s="1">
        <v>45982</v>
      </c>
      <c r="G184">
        <v>387</v>
      </c>
      <c r="H184">
        <f t="shared" si="25"/>
        <v>-2.8343210512755028E-3</v>
      </c>
      <c r="I184">
        <f t="shared" si="31"/>
        <v>29.309641712787645</v>
      </c>
      <c r="K184" s="1">
        <v>45982</v>
      </c>
      <c r="L184">
        <v>504.85</v>
      </c>
      <c r="M184">
        <f t="shared" si="26"/>
        <v>-1.7132288523313454E-2</v>
      </c>
      <c r="N184">
        <f t="shared" si="32"/>
        <v>15.405187445510055</v>
      </c>
      <c r="P184" s="1">
        <v>45982</v>
      </c>
      <c r="Q184">
        <v>56.53</v>
      </c>
      <c r="R184">
        <f t="shared" si="27"/>
        <v>-6.5026362038663873E-3</v>
      </c>
      <c r="S184">
        <f t="shared" si="33"/>
        <v>22.772491847304803</v>
      </c>
      <c r="U184" s="1">
        <v>45982</v>
      </c>
      <c r="V184">
        <v>97.13</v>
      </c>
      <c r="W184">
        <f t="shared" si="28"/>
        <v>-3.7948717948718415E-3</v>
      </c>
      <c r="X184">
        <f t="shared" si="34"/>
        <v>22.96957970547135</v>
      </c>
      <c r="Z184">
        <f t="shared" si="35"/>
        <v>112.03805254353458</v>
      </c>
      <c r="AA184" s="10">
        <f t="shared" si="29"/>
        <v>-1.0651189165104324E-2</v>
      </c>
    </row>
    <row r="185" spans="1:27" x14ac:dyDescent="0.3">
      <c r="A185" s="1">
        <v>45985</v>
      </c>
      <c r="B185" s="2">
        <v>1009.4</v>
      </c>
      <c r="C185">
        <f t="shared" si="24"/>
        <v>-2.0475497331392551E-2</v>
      </c>
      <c r="D185">
        <f t="shared" si="30"/>
        <v>21.1392670157068</v>
      </c>
      <c r="F185" s="1">
        <v>45985</v>
      </c>
      <c r="G185">
        <v>382.55</v>
      </c>
      <c r="H185">
        <f t="shared" si="25"/>
        <v>-1.1498708010335888E-2</v>
      </c>
      <c r="I185">
        <f t="shared" si="31"/>
        <v>28.972618700844738</v>
      </c>
      <c r="K185" s="1">
        <v>45985</v>
      </c>
      <c r="L185">
        <v>484.55</v>
      </c>
      <c r="M185">
        <f t="shared" si="26"/>
        <v>-4.0209963355452134E-2</v>
      </c>
      <c r="N185">
        <f t="shared" si="32"/>
        <v>14.785745422842226</v>
      </c>
      <c r="P185" s="1">
        <v>45985</v>
      </c>
      <c r="Q185">
        <v>56.7</v>
      </c>
      <c r="R185">
        <f t="shared" si="27"/>
        <v>3.0072527861312879E-3</v>
      </c>
      <c r="S185">
        <f t="shared" si="33"/>
        <v>22.840974486859764</v>
      </c>
      <c r="U185" s="1">
        <v>45985</v>
      </c>
      <c r="V185">
        <v>95.3</v>
      </c>
      <c r="W185">
        <f t="shared" si="28"/>
        <v>-1.8840728920004102E-2</v>
      </c>
      <c r="X185">
        <f t="shared" si="34"/>
        <v>22.536816080834136</v>
      </c>
      <c r="Z185">
        <f t="shared" si="35"/>
        <v>110.27542170708767</v>
      </c>
      <c r="AA185" s="10">
        <f t="shared" si="29"/>
        <v>-1.573243015592396E-2</v>
      </c>
    </row>
    <row r="186" spans="1:27" x14ac:dyDescent="0.3">
      <c r="A186" s="1">
        <v>45986</v>
      </c>
      <c r="B186" s="2">
        <v>1011.6</v>
      </c>
      <c r="C186">
        <f t="shared" si="24"/>
        <v>2.1795125817317671E-3</v>
      </c>
      <c r="D186">
        <f t="shared" si="30"/>
        <v>21.185340314136116</v>
      </c>
      <c r="F186" s="1">
        <v>45986</v>
      </c>
      <c r="G186">
        <v>380</v>
      </c>
      <c r="H186">
        <f t="shared" si="25"/>
        <v>-6.6657953208731184E-3</v>
      </c>
      <c r="I186">
        <f t="shared" si="31"/>
        <v>28.779493154675208</v>
      </c>
      <c r="K186" s="1">
        <v>45986</v>
      </c>
      <c r="L186">
        <v>481</v>
      </c>
      <c r="M186">
        <f t="shared" si="26"/>
        <v>-7.3263853059540012E-3</v>
      </c>
      <c r="N186">
        <f t="shared" si="32"/>
        <v>14.677419354838738</v>
      </c>
      <c r="P186" s="1">
        <v>45986</v>
      </c>
      <c r="Q186">
        <v>55.1</v>
      </c>
      <c r="R186">
        <f t="shared" si="27"/>
        <v>-2.8218694885361575E-2</v>
      </c>
      <c r="S186">
        <f t="shared" si="33"/>
        <v>22.196431996930741</v>
      </c>
      <c r="U186" s="1">
        <v>45986</v>
      </c>
      <c r="V186">
        <v>94.75</v>
      </c>
      <c r="W186">
        <f t="shared" si="28"/>
        <v>-5.7712486883525413E-3</v>
      </c>
      <c r="X186">
        <f t="shared" si="34"/>
        <v>22.40675051058798</v>
      </c>
      <c r="Z186">
        <f t="shared" si="35"/>
        <v>109.24543533116878</v>
      </c>
      <c r="AA186" s="10">
        <f t="shared" si="29"/>
        <v>-9.3401263851408123E-3</v>
      </c>
    </row>
    <row r="187" spans="1:27" x14ac:dyDescent="0.3">
      <c r="A187" s="1">
        <v>45987</v>
      </c>
      <c r="B187" s="2">
        <v>1034.4000000000001</v>
      </c>
      <c r="C187">
        <f t="shared" si="24"/>
        <v>2.2538552787663174E-2</v>
      </c>
      <c r="D187">
        <f t="shared" si="30"/>
        <v>21.662827225130883</v>
      </c>
      <c r="F187" s="1">
        <v>45987</v>
      </c>
      <c r="G187">
        <v>391.5</v>
      </c>
      <c r="H187">
        <f t="shared" si="25"/>
        <v>3.0263157894736843E-2</v>
      </c>
      <c r="I187">
        <f t="shared" si="31"/>
        <v>29.650451500145639</v>
      </c>
      <c r="K187" s="1">
        <v>45987</v>
      </c>
      <c r="L187">
        <v>476.6</v>
      </c>
      <c r="M187">
        <f t="shared" si="26"/>
        <v>-9.1476091476090995E-3</v>
      </c>
      <c r="N187">
        <f t="shared" si="32"/>
        <v>14.543156059285121</v>
      </c>
      <c r="P187" s="1">
        <v>45987</v>
      </c>
      <c r="Q187">
        <v>54.61</v>
      </c>
      <c r="R187">
        <f t="shared" si="27"/>
        <v>-8.8929219600726306E-3</v>
      </c>
      <c r="S187">
        <f t="shared" si="33"/>
        <v>21.999040859389979</v>
      </c>
      <c r="U187" s="1">
        <v>45987</v>
      </c>
      <c r="V187">
        <v>94.55</v>
      </c>
      <c r="W187">
        <f t="shared" si="28"/>
        <v>-2.1108179419525364E-3</v>
      </c>
      <c r="X187">
        <f t="shared" si="34"/>
        <v>22.359453939589375</v>
      </c>
      <c r="Z187">
        <f t="shared" si="35"/>
        <v>110.21492958354099</v>
      </c>
      <c r="AA187" s="10">
        <f t="shared" si="29"/>
        <v>8.8744600580634714E-3</v>
      </c>
    </row>
    <row r="188" spans="1:27" x14ac:dyDescent="0.3">
      <c r="A188" s="1">
        <v>45988</v>
      </c>
      <c r="B188" s="2">
        <v>1031.0999999999999</v>
      </c>
      <c r="C188">
        <f t="shared" si="24"/>
        <v>-3.1902552204178089E-3</v>
      </c>
      <c r="D188">
        <f t="shared" si="30"/>
        <v>21.593717277486899</v>
      </c>
      <c r="F188" s="1">
        <v>45988</v>
      </c>
      <c r="G188">
        <v>392.05</v>
      </c>
      <c r="H188">
        <f t="shared" si="25"/>
        <v>1.404853128991089E-3</v>
      </c>
      <c r="I188">
        <f t="shared" si="31"/>
        <v>29.692106029711621</v>
      </c>
      <c r="K188" s="1">
        <v>45988</v>
      </c>
      <c r="L188">
        <v>487.25</v>
      </c>
      <c r="M188">
        <f t="shared" si="26"/>
        <v>2.2345782626940782E-2</v>
      </c>
      <c r="N188">
        <f t="shared" si="32"/>
        <v>14.868134263295584</v>
      </c>
      <c r="P188" s="1">
        <v>45988</v>
      </c>
      <c r="Q188">
        <v>54.19</v>
      </c>
      <c r="R188">
        <f t="shared" si="27"/>
        <v>-7.6908991027284691E-3</v>
      </c>
      <c r="S188">
        <f t="shared" si="33"/>
        <v>21.829848455783608</v>
      </c>
      <c r="U188" s="1">
        <v>45988</v>
      </c>
      <c r="V188">
        <v>95</v>
      </c>
      <c r="W188">
        <f t="shared" si="28"/>
        <v>4.7593865679534941E-3</v>
      </c>
      <c r="X188">
        <f t="shared" si="34"/>
        <v>22.465871224336233</v>
      </c>
      <c r="Z188">
        <f t="shared" si="35"/>
        <v>110.44967725061396</v>
      </c>
      <c r="AA188" s="10">
        <f t="shared" si="29"/>
        <v>2.1299080620020838E-3</v>
      </c>
    </row>
    <row r="189" spans="1:27" x14ac:dyDescent="0.3">
      <c r="A189" s="1">
        <v>45989</v>
      </c>
      <c r="B189" s="2">
        <v>1048.2</v>
      </c>
      <c r="C189">
        <f t="shared" si="24"/>
        <v>1.6584230433517737E-2</v>
      </c>
      <c r="D189">
        <f t="shared" si="30"/>
        <v>21.951832460732977</v>
      </c>
      <c r="F189" s="1">
        <v>45989</v>
      </c>
      <c r="G189">
        <v>390.1</v>
      </c>
      <c r="H189">
        <f t="shared" si="25"/>
        <v>-4.9738553755898189E-3</v>
      </c>
      <c r="I189">
        <f t="shared" si="31"/>
        <v>29.544421788523156</v>
      </c>
      <c r="K189" s="1">
        <v>45989</v>
      </c>
      <c r="L189">
        <v>488</v>
      </c>
      <c r="M189">
        <f t="shared" si="26"/>
        <v>1.5392508978963571E-3</v>
      </c>
      <c r="N189">
        <f t="shared" si="32"/>
        <v>14.891020052310406</v>
      </c>
      <c r="P189" s="1">
        <v>45989</v>
      </c>
      <c r="Q189">
        <v>55.58</v>
      </c>
      <c r="R189">
        <f t="shared" si="27"/>
        <v>2.5650489020114423E-2</v>
      </c>
      <c r="S189">
        <f t="shared" si="33"/>
        <v>22.389794743909444</v>
      </c>
      <c r="U189" s="1">
        <v>45989</v>
      </c>
      <c r="V189">
        <v>94.95</v>
      </c>
      <c r="W189">
        <f t="shared" si="28"/>
        <v>-5.2631578947365427E-4</v>
      </c>
      <c r="X189">
        <f t="shared" si="34"/>
        <v>22.45404708158658</v>
      </c>
      <c r="Z189">
        <f t="shared" si="35"/>
        <v>111.23111612706256</v>
      </c>
      <c r="AA189" s="10">
        <f t="shared" si="29"/>
        <v>7.0750670884758282E-3</v>
      </c>
    </row>
    <row r="190" spans="1:27" x14ac:dyDescent="0.3">
      <c r="A190" s="1">
        <v>45992</v>
      </c>
      <c r="B190" s="2">
        <v>1039.5999999999999</v>
      </c>
      <c r="C190">
        <f t="shared" si="24"/>
        <v>-8.2045411181073617E-3</v>
      </c>
      <c r="D190">
        <f t="shared" si="30"/>
        <v>21.771727748691092</v>
      </c>
      <c r="F190" s="1">
        <v>45992</v>
      </c>
      <c r="G190">
        <v>389.75</v>
      </c>
      <c r="H190">
        <f t="shared" si="25"/>
        <v>-8.9720584465527485E-4</v>
      </c>
      <c r="I190">
        <f t="shared" si="31"/>
        <v>29.517914360617532</v>
      </c>
      <c r="K190" s="1">
        <v>45992</v>
      </c>
      <c r="L190">
        <v>488.65</v>
      </c>
      <c r="M190">
        <f t="shared" si="26"/>
        <v>1.3319672131147076E-3</v>
      </c>
      <c r="N190">
        <f t="shared" si="32"/>
        <v>14.910854402789917</v>
      </c>
      <c r="P190" s="1">
        <v>45992</v>
      </c>
      <c r="Q190">
        <v>54.93</v>
      </c>
      <c r="R190">
        <f t="shared" si="27"/>
        <v>-1.169485426412376E-2</v>
      </c>
      <c r="S190">
        <f t="shared" si="33"/>
        <v>22.12794935737578</v>
      </c>
      <c r="U190" s="1">
        <v>45992</v>
      </c>
      <c r="V190">
        <v>94.83</v>
      </c>
      <c r="W190">
        <f t="shared" si="28"/>
        <v>-1.2638230647709799E-3</v>
      </c>
      <c r="X190">
        <f t="shared" si="34"/>
        <v>22.425669138987416</v>
      </c>
      <c r="Z190">
        <f t="shared" si="35"/>
        <v>110.75411500846174</v>
      </c>
      <c r="AA190" s="10">
        <f t="shared" si="29"/>
        <v>-4.2883784251156465E-3</v>
      </c>
    </row>
    <row r="191" spans="1:27" x14ac:dyDescent="0.3">
      <c r="A191" s="1">
        <v>45993</v>
      </c>
      <c r="B191" s="2">
        <v>1022.6</v>
      </c>
      <c r="C191">
        <f t="shared" si="24"/>
        <v>-1.6352443247402738E-2</v>
      </c>
      <c r="D191">
        <f t="shared" si="30"/>
        <v>21.415706806282717</v>
      </c>
      <c r="F191" s="1">
        <v>45993</v>
      </c>
      <c r="G191">
        <v>388.45</v>
      </c>
      <c r="H191">
        <f t="shared" si="25"/>
        <v>-3.3354714560616069E-3</v>
      </c>
      <c r="I191">
        <f t="shared" si="31"/>
        <v>29.419458199825222</v>
      </c>
      <c r="K191" s="1">
        <v>45993</v>
      </c>
      <c r="L191">
        <v>491.8</v>
      </c>
      <c r="M191">
        <f t="shared" si="26"/>
        <v>6.4463317302773651E-3</v>
      </c>
      <c r="N191">
        <f t="shared" si="32"/>
        <v>15.006974716652168</v>
      </c>
      <c r="P191" s="1">
        <v>45993</v>
      </c>
      <c r="Q191">
        <v>54.01</v>
      </c>
      <c r="R191">
        <f t="shared" si="27"/>
        <v>-1.6748589113417107E-2</v>
      </c>
      <c r="S191">
        <f t="shared" si="33"/>
        <v>21.757337425666591</v>
      </c>
      <c r="U191" s="1">
        <v>45993</v>
      </c>
      <c r="V191">
        <v>92.88</v>
      </c>
      <c r="W191">
        <f t="shared" si="28"/>
        <v>-2.0563112938943404E-2</v>
      </c>
      <c r="X191">
        <f t="shared" si="34"/>
        <v>21.964527571751042</v>
      </c>
      <c r="Z191">
        <f t="shared" si="35"/>
        <v>109.56400472017773</v>
      </c>
      <c r="AA191" s="10">
        <f t="shared" si="29"/>
        <v>-1.0745517565582841E-2</v>
      </c>
    </row>
    <row r="192" spans="1:27" x14ac:dyDescent="0.3">
      <c r="A192" s="1">
        <v>45994</v>
      </c>
      <c r="B192" s="2">
        <v>1012.6</v>
      </c>
      <c r="C192">
        <f t="shared" si="24"/>
        <v>-9.7789947193428518E-3</v>
      </c>
      <c r="D192">
        <f t="shared" si="30"/>
        <v>21.206282722513084</v>
      </c>
      <c r="F192" s="1">
        <v>45994</v>
      </c>
      <c r="G192">
        <v>383.65</v>
      </c>
      <c r="H192">
        <f t="shared" si="25"/>
        <v>-1.2356802677307276E-2</v>
      </c>
      <c r="I192">
        <f t="shared" si="31"/>
        <v>29.05592775997669</v>
      </c>
      <c r="K192" s="1">
        <v>45994</v>
      </c>
      <c r="L192">
        <v>484.15</v>
      </c>
      <c r="M192">
        <f t="shared" si="26"/>
        <v>-1.5555103700691407E-2</v>
      </c>
      <c r="N192">
        <f t="shared" si="32"/>
        <v>14.773539668700991</v>
      </c>
      <c r="P192" s="1">
        <v>45994</v>
      </c>
      <c r="Q192">
        <v>53.72</v>
      </c>
      <c r="R192">
        <f t="shared" si="27"/>
        <v>-5.3693760414737857E-3</v>
      </c>
      <c r="S192">
        <f t="shared" si="33"/>
        <v>21.640514099366957</v>
      </c>
      <c r="U192" s="1">
        <v>45994</v>
      </c>
      <c r="V192">
        <v>91.74</v>
      </c>
      <c r="W192">
        <f t="shared" si="28"/>
        <v>-1.2273901808785537E-2</v>
      </c>
      <c r="X192">
        <f t="shared" si="34"/>
        <v>21.694937117059006</v>
      </c>
      <c r="Z192">
        <f t="shared" si="35"/>
        <v>108.37120136761673</v>
      </c>
      <c r="AA192" s="10">
        <f t="shared" si="29"/>
        <v>-1.0886817761064593E-2</v>
      </c>
    </row>
    <row r="193" spans="1:27" x14ac:dyDescent="0.3">
      <c r="A193" s="1">
        <v>45995</v>
      </c>
      <c r="B193" s="2">
        <v>1013.4</v>
      </c>
      <c r="C193">
        <f t="shared" si="24"/>
        <v>7.9004542761204274E-4</v>
      </c>
      <c r="D193">
        <f t="shared" si="30"/>
        <v>21.223036649214652</v>
      </c>
      <c r="F193" s="1">
        <v>45995</v>
      </c>
      <c r="G193">
        <v>384.45</v>
      </c>
      <c r="H193">
        <f t="shared" si="25"/>
        <v>2.0852339371823575E-3</v>
      </c>
      <c r="I193">
        <f t="shared" si="31"/>
        <v>29.116516166618116</v>
      </c>
      <c r="K193" s="1">
        <v>45995</v>
      </c>
      <c r="L193">
        <v>470.2</v>
      </c>
      <c r="M193">
        <f t="shared" si="26"/>
        <v>-2.8813384281730848E-2</v>
      </c>
      <c r="N193">
        <f t="shared" si="32"/>
        <v>14.347863993025314</v>
      </c>
      <c r="P193" s="1">
        <v>45995</v>
      </c>
      <c r="Q193">
        <v>53.42</v>
      </c>
      <c r="R193">
        <f t="shared" si="27"/>
        <v>-5.5845122859269763E-3</v>
      </c>
      <c r="S193">
        <f t="shared" si="33"/>
        <v>21.519662382505267</v>
      </c>
      <c r="U193" s="1">
        <v>45995</v>
      </c>
      <c r="V193">
        <v>91.18</v>
      </c>
      <c r="W193">
        <f t="shared" si="28"/>
        <v>-6.1042075430563338E-3</v>
      </c>
      <c r="X193">
        <f t="shared" si="34"/>
        <v>21.56250671826292</v>
      </c>
      <c r="Z193">
        <f t="shared" si="35"/>
        <v>107.76958590962626</v>
      </c>
      <c r="AA193" s="10">
        <f t="shared" si="29"/>
        <v>-5.5514329489592118E-3</v>
      </c>
    </row>
    <row r="194" spans="1:27" x14ac:dyDescent="0.3">
      <c r="A194" s="1">
        <v>45996</v>
      </c>
      <c r="B194" s="2">
        <v>1017.7</v>
      </c>
      <c r="C194">
        <f t="shared" si="24"/>
        <v>4.2431418985593725E-3</v>
      </c>
      <c r="D194">
        <f t="shared" si="30"/>
        <v>21.313089005235597</v>
      </c>
      <c r="F194" s="1">
        <v>45996</v>
      </c>
      <c r="G194">
        <v>384.5</v>
      </c>
      <c r="H194">
        <f t="shared" si="25"/>
        <v>1.3005592404736994E-4</v>
      </c>
      <c r="I194">
        <f t="shared" si="31"/>
        <v>29.120302942033206</v>
      </c>
      <c r="K194" s="1">
        <v>45996</v>
      </c>
      <c r="L194">
        <v>459.85</v>
      </c>
      <c r="M194">
        <f t="shared" si="26"/>
        <v>-2.2011909825606052E-2</v>
      </c>
      <c r="N194">
        <f t="shared" si="32"/>
        <v>14.03204010462078</v>
      </c>
      <c r="P194" s="1">
        <v>45996</v>
      </c>
      <c r="Q194">
        <v>52.59</v>
      </c>
      <c r="R194">
        <f t="shared" si="27"/>
        <v>-1.5537251965555939E-2</v>
      </c>
      <c r="S194">
        <f t="shared" si="33"/>
        <v>21.185305965854589</v>
      </c>
      <c r="U194" s="1">
        <v>45996</v>
      </c>
      <c r="V194">
        <v>91.21</v>
      </c>
      <c r="W194">
        <f t="shared" si="28"/>
        <v>3.2901952182481822E-4</v>
      </c>
      <c r="X194">
        <f t="shared" si="34"/>
        <v>21.569601203912708</v>
      </c>
      <c r="Z194">
        <f t="shared" si="35"/>
        <v>107.22033922165687</v>
      </c>
      <c r="AA194" s="10">
        <f t="shared" si="29"/>
        <v>-5.0964906595258874E-3</v>
      </c>
    </row>
    <row r="195" spans="1:27" x14ac:dyDescent="0.3">
      <c r="A195" s="1">
        <v>45999</v>
      </c>
      <c r="B195">
        <v>993.8</v>
      </c>
      <c r="C195">
        <f t="shared" si="24"/>
        <v>-2.3484327404932781E-2</v>
      </c>
      <c r="D195">
        <f t="shared" si="30"/>
        <v>20.81256544502617</v>
      </c>
      <c r="F195" s="1">
        <v>45999</v>
      </c>
      <c r="G195">
        <v>374.15</v>
      </c>
      <c r="H195">
        <f t="shared" si="25"/>
        <v>-2.6918075422626846E-2</v>
      </c>
      <c r="I195">
        <f t="shared" si="31"/>
        <v>28.336440431109814</v>
      </c>
      <c r="K195" s="1">
        <v>45999</v>
      </c>
      <c r="L195">
        <v>461.95</v>
      </c>
      <c r="M195">
        <f t="shared" si="26"/>
        <v>4.5667065347395142E-3</v>
      </c>
      <c r="N195">
        <f t="shared" si="32"/>
        <v>14.096120313862277</v>
      </c>
      <c r="P195" s="1">
        <v>45999</v>
      </c>
      <c r="Q195">
        <v>50.85</v>
      </c>
      <c r="R195">
        <f t="shared" si="27"/>
        <v>-3.3086138049058793E-2</v>
      </c>
      <c r="S195">
        <f t="shared" si="33"/>
        <v>20.484366008056774</v>
      </c>
      <c r="U195" s="1">
        <v>45999</v>
      </c>
      <c r="V195">
        <v>90.27</v>
      </c>
      <c r="W195">
        <f t="shared" si="28"/>
        <v>-1.030588751233415E-2</v>
      </c>
      <c r="X195">
        <f t="shared" si="34"/>
        <v>21.347307320219276</v>
      </c>
      <c r="Z195">
        <f t="shared" si="35"/>
        <v>105.07679951827431</v>
      </c>
      <c r="AA195" s="10">
        <f t="shared" si="29"/>
        <v>-1.999191309170556E-2</v>
      </c>
    </row>
    <row r="196" spans="1:27" x14ac:dyDescent="0.3">
      <c r="A196" s="1">
        <v>46000</v>
      </c>
      <c r="B196">
        <v>998.9</v>
      </c>
      <c r="C196">
        <f t="shared" si="24"/>
        <v>5.1318172670557684E-3</v>
      </c>
      <c r="D196">
        <f t="shared" si="30"/>
        <v>20.919371727748683</v>
      </c>
      <c r="F196" s="1">
        <v>46000</v>
      </c>
      <c r="G196">
        <v>376.25</v>
      </c>
      <c r="H196">
        <f t="shared" si="25"/>
        <v>5.6127221702526337E-3</v>
      </c>
      <c r="I196">
        <f t="shared" si="31"/>
        <v>28.495484998543549</v>
      </c>
      <c r="K196" s="1">
        <v>46000</v>
      </c>
      <c r="L196">
        <v>453.85</v>
      </c>
      <c r="M196">
        <f t="shared" si="26"/>
        <v>-1.7534365191037918E-2</v>
      </c>
      <c r="N196">
        <f t="shared" si="32"/>
        <v>13.848953792502208</v>
      </c>
      <c r="P196" s="1">
        <v>46000</v>
      </c>
      <c r="Q196">
        <v>51.74</v>
      </c>
      <c r="R196">
        <f t="shared" si="27"/>
        <v>1.7502458210422824E-2</v>
      </c>
      <c r="S196">
        <f t="shared" si="33"/>
        <v>20.842892768079793</v>
      </c>
      <c r="U196" s="1">
        <v>46000</v>
      </c>
      <c r="V196">
        <v>90.83</v>
      </c>
      <c r="W196">
        <f t="shared" si="28"/>
        <v>6.2036113880580739E-3</v>
      </c>
      <c r="X196">
        <f t="shared" si="34"/>
        <v>21.479737719015365</v>
      </c>
      <c r="Z196">
        <f t="shared" si="35"/>
        <v>105.5864410058896</v>
      </c>
      <c r="AA196" s="10">
        <f t="shared" si="29"/>
        <v>4.8501809148331354E-3</v>
      </c>
    </row>
    <row r="197" spans="1:27" x14ac:dyDescent="0.3">
      <c r="A197" s="1">
        <v>46001</v>
      </c>
      <c r="B197">
        <v>989.8</v>
      </c>
      <c r="C197">
        <f t="shared" si="24"/>
        <v>-9.110021023125461E-3</v>
      </c>
      <c r="D197">
        <f t="shared" si="30"/>
        <v>20.728795811518317</v>
      </c>
      <c r="F197" s="1">
        <v>46001</v>
      </c>
      <c r="G197">
        <v>379.85</v>
      </c>
      <c r="H197">
        <f t="shared" si="25"/>
        <v>9.5681063122924192E-3</v>
      </c>
      <c r="I197">
        <f t="shared" si="31"/>
        <v>28.768132828429945</v>
      </c>
      <c r="K197" s="1">
        <v>46001</v>
      </c>
      <c r="L197">
        <v>451.2</v>
      </c>
      <c r="M197">
        <f t="shared" si="26"/>
        <v>-5.838933568359665E-3</v>
      </c>
      <c r="N197">
        <f t="shared" si="32"/>
        <v>13.768090671316505</v>
      </c>
      <c r="P197" s="1">
        <v>46001</v>
      </c>
      <c r="Q197">
        <v>51.78</v>
      </c>
      <c r="R197">
        <f t="shared" si="27"/>
        <v>7.7309625048316863E-4</v>
      </c>
      <c r="S197">
        <f t="shared" si="33"/>
        <v>20.859006330328022</v>
      </c>
      <c r="U197" s="1">
        <v>46001</v>
      </c>
      <c r="V197">
        <v>90.77</v>
      </c>
      <c r="W197">
        <f t="shared" si="28"/>
        <v>-6.6057469998901546E-4</v>
      </c>
      <c r="X197">
        <f t="shared" si="34"/>
        <v>21.465548747715783</v>
      </c>
      <c r="Z197">
        <f t="shared" si="35"/>
        <v>105.58957438930858</v>
      </c>
      <c r="AA197" s="10">
        <f t="shared" si="29"/>
        <v>2.9676001853440326E-5</v>
      </c>
    </row>
    <row r="198" spans="1:27" x14ac:dyDescent="0.3">
      <c r="A198" s="1">
        <v>46002</v>
      </c>
      <c r="B198" s="2">
        <v>1018.8</v>
      </c>
      <c r="C198">
        <f t="shared" ref="C198:C251" si="36">(B198-B197)/B197</f>
        <v>2.9298848252172157E-2</v>
      </c>
      <c r="D198">
        <f t="shared" si="30"/>
        <v>21.336125654450253</v>
      </c>
      <c r="F198" s="1">
        <v>46002</v>
      </c>
      <c r="G198">
        <v>380.15</v>
      </c>
      <c r="H198">
        <f t="shared" ref="H198:H251" si="37">(G198-G197)/G197</f>
        <v>7.8978544162157296E-4</v>
      </c>
      <c r="I198">
        <f t="shared" si="31"/>
        <v>28.790853480920479</v>
      </c>
      <c r="K198" s="1">
        <v>46002</v>
      </c>
      <c r="L198">
        <v>451.15</v>
      </c>
      <c r="M198">
        <f t="shared" ref="M198:M251" si="38">(L198-L197)/L197</f>
        <v>-1.1081560283690464E-4</v>
      </c>
      <c r="N198">
        <f t="shared" si="32"/>
        <v>13.766564952048851</v>
      </c>
      <c r="P198" s="1">
        <v>46002</v>
      </c>
      <c r="Q198">
        <v>52.55</v>
      </c>
      <c r="R198">
        <f t="shared" ref="R198:R251" si="39">(Q198-Q197)/Q197</f>
        <v>1.4870606411741908E-2</v>
      </c>
      <c r="S198">
        <f t="shared" si="33"/>
        <v>21.169192403606363</v>
      </c>
      <c r="U198" s="1">
        <v>46002</v>
      </c>
      <c r="V198">
        <v>90.88</v>
      </c>
      <c r="W198">
        <f t="shared" ref="W198:W251" si="40">(V198-V197)/V197</f>
        <v>1.2118541368293426E-3</v>
      </c>
      <c r="X198">
        <f t="shared" si="34"/>
        <v>21.491561861765014</v>
      </c>
      <c r="Z198">
        <f t="shared" si="35"/>
        <v>106.55429835279097</v>
      </c>
      <c r="AA198" s="10">
        <f t="shared" ref="AA198:AA251" si="41">Z198/Z197-1</f>
        <v>9.1365456207395113E-3</v>
      </c>
    </row>
    <row r="199" spans="1:27" x14ac:dyDescent="0.3">
      <c r="A199" s="1">
        <v>46003</v>
      </c>
      <c r="B199" s="2">
        <v>1040.2</v>
      </c>
      <c r="C199">
        <f t="shared" si="36"/>
        <v>2.1005104043973391E-2</v>
      </c>
      <c r="D199">
        <f t="shared" ref="D199:D251" si="42">D198*(1+C199)</f>
        <v>21.784293193717271</v>
      </c>
      <c r="F199" s="1">
        <v>46003</v>
      </c>
      <c r="G199">
        <v>381.95</v>
      </c>
      <c r="H199">
        <f t="shared" si="37"/>
        <v>4.734973036959125E-3</v>
      </c>
      <c r="I199">
        <f t="shared" ref="I199:I251" si="43">I198*(1+H199)</f>
        <v>28.927177395863676</v>
      </c>
      <c r="K199" s="1">
        <v>46003</v>
      </c>
      <c r="L199">
        <v>457.8</v>
      </c>
      <c r="M199">
        <f t="shared" si="38"/>
        <v>1.4740108611326685E-2</v>
      </c>
      <c r="N199">
        <f t="shared" ref="N199:N251" si="44">N198*(1+M199)</f>
        <v>13.969485614646937</v>
      </c>
      <c r="P199" s="1">
        <v>46003</v>
      </c>
      <c r="Q199">
        <v>51.54</v>
      </c>
      <c r="R199">
        <f t="shared" si="39"/>
        <v>-1.921979067554706E-2</v>
      </c>
      <c r="S199">
        <f t="shared" ref="S199:S251" si="45">S198*(1+R199)</f>
        <v>20.762324956838668</v>
      </c>
      <c r="U199" s="1">
        <v>46003</v>
      </c>
      <c r="V199">
        <v>91.53</v>
      </c>
      <c r="W199">
        <f t="shared" si="40"/>
        <v>7.1522887323944295E-3</v>
      </c>
      <c r="X199">
        <f t="shared" ref="X199:X251" si="46">X198*(1+W199)</f>
        <v>21.645275717510476</v>
      </c>
      <c r="Z199">
        <f t="shared" ref="Z199:Z251" si="47">X199+S199+N199+I199+D199</f>
        <v>107.08855687857702</v>
      </c>
      <c r="AA199" s="10">
        <f t="shared" si="41"/>
        <v>5.0139556455730538E-3</v>
      </c>
    </row>
    <row r="200" spans="1:27" x14ac:dyDescent="0.3">
      <c r="A200" s="1">
        <v>46006</v>
      </c>
      <c r="B200" s="2">
        <v>1047.5999999999999</v>
      </c>
      <c r="C200">
        <f t="shared" si="36"/>
        <v>7.1140165352815456E-3</v>
      </c>
      <c r="D200">
        <f t="shared" si="42"/>
        <v>21.9392670157068</v>
      </c>
      <c r="F200" s="1">
        <v>46006</v>
      </c>
      <c r="G200">
        <v>381.65</v>
      </c>
      <c r="H200">
        <f t="shared" si="37"/>
        <v>-7.8544312082736323E-4</v>
      </c>
      <c r="I200">
        <f t="shared" si="43"/>
        <v>28.904456743373142</v>
      </c>
      <c r="K200" s="1">
        <v>46006</v>
      </c>
      <c r="L200">
        <v>482.2</v>
      </c>
      <c r="M200">
        <f t="shared" si="38"/>
        <v>5.3298383573612877E-2</v>
      </c>
      <c r="N200">
        <f t="shared" si="44"/>
        <v>14.714036617262456</v>
      </c>
      <c r="P200" s="1">
        <v>46006</v>
      </c>
      <c r="Q200">
        <v>52.04</v>
      </c>
      <c r="R200">
        <f t="shared" si="39"/>
        <v>9.7012029491656965E-3</v>
      </c>
      <c r="S200">
        <f t="shared" si="45"/>
        <v>20.963744484941486</v>
      </c>
      <c r="U200" s="1">
        <v>46006</v>
      </c>
      <c r="V200">
        <v>90.47</v>
      </c>
      <c r="W200">
        <f t="shared" si="40"/>
        <v>-1.1580902436359689E-2</v>
      </c>
      <c r="X200">
        <f t="shared" si="46"/>
        <v>21.394603891217884</v>
      </c>
      <c r="Z200">
        <f t="shared" si="47"/>
        <v>107.91610875250177</v>
      </c>
      <c r="AA200" s="10">
        <f t="shared" si="41"/>
        <v>7.7277339245787058E-3</v>
      </c>
    </row>
    <row r="201" spans="1:27" x14ac:dyDescent="0.3">
      <c r="A201" s="1">
        <v>46007</v>
      </c>
      <c r="B201" s="2">
        <v>1028.2</v>
      </c>
      <c r="C201">
        <f t="shared" si="36"/>
        <v>-1.8518518518518389E-2</v>
      </c>
      <c r="D201">
        <f t="shared" si="42"/>
        <v>21.532984293193714</v>
      </c>
      <c r="F201" s="1">
        <v>46007</v>
      </c>
      <c r="G201">
        <v>379.85</v>
      </c>
      <c r="H201">
        <f t="shared" si="37"/>
        <v>-4.7163631599631984E-3</v>
      </c>
      <c r="I201">
        <f t="shared" si="43"/>
        <v>28.768132828429948</v>
      </c>
      <c r="K201" s="1">
        <v>46007</v>
      </c>
      <c r="L201">
        <v>486.45</v>
      </c>
      <c r="M201">
        <f t="shared" si="38"/>
        <v>8.8137702198257985E-3</v>
      </c>
      <c r="N201">
        <f t="shared" si="44"/>
        <v>14.843722755013111</v>
      </c>
      <c r="P201" s="1">
        <v>46007</v>
      </c>
      <c r="Q201">
        <v>53.02</v>
      </c>
      <c r="R201">
        <f t="shared" si="39"/>
        <v>1.883166794773259E-2</v>
      </c>
      <c r="S201">
        <f t="shared" si="45"/>
        <v>21.358526760023011</v>
      </c>
      <c r="U201" s="1">
        <v>46007</v>
      </c>
      <c r="V201">
        <v>90.27</v>
      </c>
      <c r="W201">
        <f t="shared" si="40"/>
        <v>-2.2106775726760566E-3</v>
      </c>
      <c r="X201">
        <f t="shared" si="46"/>
        <v>21.347307320219283</v>
      </c>
      <c r="Z201">
        <f t="shared" si="47"/>
        <v>107.85067395687906</v>
      </c>
      <c r="AA201" s="10">
        <f t="shared" si="41"/>
        <v>-6.0634873124254529E-4</v>
      </c>
    </row>
    <row r="202" spans="1:27" x14ac:dyDescent="0.3">
      <c r="A202" s="1">
        <v>46008</v>
      </c>
      <c r="B202" s="2">
        <v>1020.7</v>
      </c>
      <c r="C202">
        <f t="shared" si="36"/>
        <v>-7.294300719704337E-3</v>
      </c>
      <c r="D202">
        <f t="shared" si="42"/>
        <v>21.375916230366489</v>
      </c>
      <c r="F202" s="1">
        <v>46008</v>
      </c>
      <c r="G202">
        <v>378.55</v>
      </c>
      <c r="H202">
        <f t="shared" si="37"/>
        <v>-3.4224035803606984E-3</v>
      </c>
      <c r="I202">
        <f t="shared" si="43"/>
        <v>28.669676667637638</v>
      </c>
      <c r="K202" s="1">
        <v>46008</v>
      </c>
      <c r="L202">
        <v>478.5</v>
      </c>
      <c r="M202">
        <f t="shared" si="38"/>
        <v>-1.6342892383595414E-2</v>
      </c>
      <c r="N202">
        <f t="shared" si="44"/>
        <v>14.601133391456004</v>
      </c>
      <c r="P202" s="1">
        <v>46008</v>
      </c>
      <c r="Q202">
        <v>53.14</v>
      </c>
      <c r="R202">
        <f t="shared" si="39"/>
        <v>2.2632968691059492E-3</v>
      </c>
      <c r="S202">
        <f t="shared" si="45"/>
        <v>21.406867446767684</v>
      </c>
      <c r="U202" s="1">
        <v>46008</v>
      </c>
      <c r="V202">
        <v>90.35</v>
      </c>
      <c r="W202">
        <f t="shared" si="40"/>
        <v>8.86230198293988E-4</v>
      </c>
      <c r="X202">
        <f t="shared" si="46"/>
        <v>21.366225948618723</v>
      </c>
      <c r="Z202">
        <f t="shared" si="47"/>
        <v>107.41981968484653</v>
      </c>
      <c r="AA202" s="10">
        <f t="shared" si="41"/>
        <v>-3.9949149710905019E-3</v>
      </c>
    </row>
    <row r="203" spans="1:27" x14ac:dyDescent="0.3">
      <c r="A203" s="1">
        <v>46009</v>
      </c>
      <c r="B203" s="2">
        <v>1011</v>
      </c>
      <c r="C203">
        <f t="shared" si="36"/>
        <v>-9.5032820613305032E-3</v>
      </c>
      <c r="D203">
        <f t="shared" si="42"/>
        <v>21.172774869109944</v>
      </c>
      <c r="F203" s="1">
        <v>46009</v>
      </c>
      <c r="G203">
        <v>374.95</v>
      </c>
      <c r="H203">
        <f t="shared" si="37"/>
        <v>-9.5099722625809607E-3</v>
      </c>
      <c r="I203">
        <f t="shared" si="43"/>
        <v>28.39702883775124</v>
      </c>
      <c r="K203" s="1">
        <v>46009</v>
      </c>
      <c r="L203">
        <v>475.25</v>
      </c>
      <c r="M203">
        <f t="shared" si="38"/>
        <v>-6.7920585161964468E-3</v>
      </c>
      <c r="N203">
        <f t="shared" si="44"/>
        <v>14.501961639058445</v>
      </c>
      <c r="P203" s="1">
        <v>46009</v>
      </c>
      <c r="Q203">
        <v>52.67</v>
      </c>
      <c r="R203">
        <f t="shared" si="39"/>
        <v>-8.8445615355664062E-3</v>
      </c>
      <c r="S203">
        <f t="shared" si="45"/>
        <v>21.217533090351033</v>
      </c>
      <c r="U203" s="1">
        <v>46009</v>
      </c>
      <c r="V203">
        <v>90.06</v>
      </c>
      <c r="W203">
        <f t="shared" si="40"/>
        <v>-3.2097399003872943E-3</v>
      </c>
      <c r="X203">
        <f t="shared" si="46"/>
        <v>21.29764592067075</v>
      </c>
      <c r="Z203">
        <f t="shared" si="47"/>
        <v>106.58694435694142</v>
      </c>
      <c r="AA203" s="10">
        <f t="shared" si="41"/>
        <v>-7.7534604912635752E-3</v>
      </c>
    </row>
    <row r="204" spans="1:27" x14ac:dyDescent="0.3">
      <c r="A204" s="1">
        <v>46010</v>
      </c>
      <c r="B204" s="2">
        <v>1020.9</v>
      </c>
      <c r="C204">
        <f t="shared" si="36"/>
        <v>9.7922848664688204E-3</v>
      </c>
      <c r="D204">
        <f t="shared" si="42"/>
        <v>21.380104712041881</v>
      </c>
      <c r="F204" s="1">
        <v>46010</v>
      </c>
      <c r="G204">
        <v>380.55</v>
      </c>
      <c r="H204">
        <f t="shared" si="37"/>
        <v>1.493532470996139E-2</v>
      </c>
      <c r="I204">
        <f t="shared" si="43"/>
        <v>28.82114768424119</v>
      </c>
      <c r="K204" s="1">
        <v>46010</v>
      </c>
      <c r="L204">
        <v>472</v>
      </c>
      <c r="M204">
        <f t="shared" si="38"/>
        <v>-6.8385060494476589E-3</v>
      </c>
      <c r="N204">
        <f t="shared" si="44"/>
        <v>14.402789886660885</v>
      </c>
      <c r="P204" s="1">
        <v>46010</v>
      </c>
      <c r="Q204">
        <v>51.94</v>
      </c>
      <c r="R204">
        <f t="shared" si="39"/>
        <v>-1.3859882285931345E-2</v>
      </c>
      <c r="S204">
        <f t="shared" si="45"/>
        <v>20.923460579320913</v>
      </c>
      <c r="U204" s="1">
        <v>46010</v>
      </c>
      <c r="V204">
        <v>89.92</v>
      </c>
      <c r="W204">
        <f t="shared" si="40"/>
        <v>-1.5545192094159512E-3</v>
      </c>
      <c r="X204">
        <f t="shared" si="46"/>
        <v>21.264538320971727</v>
      </c>
      <c r="Z204">
        <f t="shared" si="47"/>
        <v>106.79204118323659</v>
      </c>
      <c r="AA204" s="10">
        <f t="shared" si="41"/>
        <v>1.9242209027809931E-3</v>
      </c>
    </row>
    <row r="205" spans="1:27" x14ac:dyDescent="0.3">
      <c r="A205" s="1">
        <v>46013</v>
      </c>
      <c r="B205" s="2">
        <v>1020.8</v>
      </c>
      <c r="C205">
        <f t="shared" si="36"/>
        <v>-9.795278675680551E-5</v>
      </c>
      <c r="D205">
        <f t="shared" si="42"/>
        <v>21.378010471204185</v>
      </c>
      <c r="F205" s="1">
        <v>46013</v>
      </c>
      <c r="G205">
        <v>380.8</v>
      </c>
      <c r="H205">
        <f t="shared" si="37"/>
        <v>6.5694389699119692E-4</v>
      </c>
      <c r="I205">
        <f t="shared" si="43"/>
        <v>28.840081561316634</v>
      </c>
      <c r="K205" s="1">
        <v>46013</v>
      </c>
      <c r="L205">
        <v>478.25</v>
      </c>
      <c r="M205">
        <f t="shared" si="38"/>
        <v>1.3241525423728813E-2</v>
      </c>
      <c r="N205">
        <f t="shared" si="44"/>
        <v>14.593504795117729</v>
      </c>
      <c r="P205" s="1">
        <v>46013</v>
      </c>
      <c r="Q205">
        <v>51.78</v>
      </c>
      <c r="R205">
        <f t="shared" si="39"/>
        <v>-3.0804774740084057E-3</v>
      </c>
      <c r="S205">
        <f t="shared" si="45"/>
        <v>20.859006330328011</v>
      </c>
      <c r="U205" s="1">
        <v>46013</v>
      </c>
      <c r="V205">
        <v>90.61</v>
      </c>
      <c r="W205">
        <f t="shared" si="40"/>
        <v>7.6734875444839602E-3</v>
      </c>
      <c r="X205">
        <f t="shared" si="46"/>
        <v>21.427711490916906</v>
      </c>
      <c r="Z205">
        <f t="shared" si="47"/>
        <v>107.09831464888347</v>
      </c>
      <c r="AA205" s="10">
        <f t="shared" si="41"/>
        <v>2.8679428003568486E-3</v>
      </c>
    </row>
    <row r="206" spans="1:27" x14ac:dyDescent="0.3">
      <c r="A206" s="1">
        <v>46014</v>
      </c>
      <c r="B206" s="2">
        <v>1016.9</v>
      </c>
      <c r="C206">
        <f t="shared" si="36"/>
        <v>-3.8205329153604794E-3</v>
      </c>
      <c r="D206">
        <f t="shared" si="42"/>
        <v>21.296335078534028</v>
      </c>
      <c r="F206" s="1">
        <v>46014</v>
      </c>
      <c r="G206">
        <v>382.2</v>
      </c>
      <c r="H206">
        <f t="shared" si="37"/>
        <v>3.6764705882352342E-3</v>
      </c>
      <c r="I206">
        <f t="shared" si="43"/>
        <v>28.94611127293912</v>
      </c>
      <c r="K206" s="1">
        <v>46014</v>
      </c>
      <c r="L206">
        <v>478.95</v>
      </c>
      <c r="M206">
        <f t="shared" si="38"/>
        <v>1.4636696288551775E-3</v>
      </c>
      <c r="N206">
        <f t="shared" si="44"/>
        <v>14.614864864864897</v>
      </c>
      <c r="P206" s="1">
        <v>46014</v>
      </c>
      <c r="Q206">
        <v>52.59</v>
      </c>
      <c r="R206">
        <f t="shared" si="39"/>
        <v>1.5643105446118237E-2</v>
      </c>
      <c r="S206">
        <f t="shared" si="45"/>
        <v>21.185305965854578</v>
      </c>
      <c r="U206" s="1">
        <v>46014</v>
      </c>
      <c r="V206">
        <v>90.48</v>
      </c>
      <c r="W206">
        <f t="shared" si="40"/>
        <v>-1.4347202295551865E-3</v>
      </c>
      <c r="X206">
        <f t="shared" si="46"/>
        <v>21.396968719767816</v>
      </c>
      <c r="Z206">
        <f t="shared" si="47"/>
        <v>107.43958590196044</v>
      </c>
      <c r="AA206" s="10">
        <f t="shared" si="41"/>
        <v>3.1865230951189094E-3</v>
      </c>
    </row>
    <row r="207" spans="1:27" x14ac:dyDescent="0.3">
      <c r="A207" s="1">
        <v>46015</v>
      </c>
      <c r="B207" s="2">
        <v>1015</v>
      </c>
      <c r="C207">
        <f t="shared" si="36"/>
        <v>-1.8684236404759339E-3</v>
      </c>
      <c r="D207">
        <f t="shared" si="42"/>
        <v>21.2565445026178</v>
      </c>
      <c r="F207" s="1">
        <v>46015</v>
      </c>
      <c r="G207">
        <v>379.7</v>
      </c>
      <c r="H207">
        <f t="shared" si="37"/>
        <v>-6.5410779696493983E-3</v>
      </c>
      <c r="I207">
        <f t="shared" si="43"/>
        <v>28.756772502184678</v>
      </c>
      <c r="K207" s="1">
        <v>46015</v>
      </c>
      <c r="L207">
        <v>485.65</v>
      </c>
      <c r="M207">
        <f t="shared" si="38"/>
        <v>1.3988934126735544E-2</v>
      </c>
      <c r="N207">
        <f t="shared" si="44"/>
        <v>14.819311246730635</v>
      </c>
      <c r="P207" s="1">
        <v>46015</v>
      </c>
      <c r="Q207">
        <v>53.51</v>
      </c>
      <c r="R207">
        <f t="shared" si="39"/>
        <v>1.7493820117893032E-2</v>
      </c>
      <c r="S207">
        <f t="shared" si="45"/>
        <v>21.555917897563766</v>
      </c>
      <c r="U207" s="1">
        <v>46015</v>
      </c>
      <c r="V207">
        <v>93.27</v>
      </c>
      <c r="W207">
        <f t="shared" si="40"/>
        <v>3.0835543766578159E-2</v>
      </c>
      <c r="X207">
        <f t="shared" si="46"/>
        <v>22.056755885198321</v>
      </c>
      <c r="Z207">
        <f t="shared" si="47"/>
        <v>108.4453020342952</v>
      </c>
      <c r="AA207" s="10">
        <f t="shared" si="41"/>
        <v>9.3607595737801308E-3</v>
      </c>
    </row>
    <row r="208" spans="1:27" x14ac:dyDescent="0.3">
      <c r="A208" s="1">
        <v>46017</v>
      </c>
      <c r="B208" s="2">
        <v>1018.1</v>
      </c>
      <c r="C208">
        <f t="shared" si="36"/>
        <v>3.0541871921182491E-3</v>
      </c>
      <c r="D208">
        <f t="shared" si="42"/>
        <v>21.321465968586384</v>
      </c>
      <c r="F208" s="1">
        <v>46017</v>
      </c>
      <c r="G208">
        <v>379.55</v>
      </c>
      <c r="H208">
        <f t="shared" si="37"/>
        <v>-3.950487226757368E-4</v>
      </c>
      <c r="I208">
        <f t="shared" si="43"/>
        <v>28.745412175939414</v>
      </c>
      <c r="K208" s="1">
        <v>46017</v>
      </c>
      <c r="L208">
        <v>484.35</v>
      </c>
      <c r="M208">
        <f t="shared" si="38"/>
        <v>-2.6768248738802732E-3</v>
      </c>
      <c r="N208">
        <f t="shared" si="44"/>
        <v>14.779642545771612</v>
      </c>
      <c r="P208" s="1">
        <v>46017</v>
      </c>
      <c r="Q208">
        <v>53.62</v>
      </c>
      <c r="R208">
        <f t="shared" si="39"/>
        <v>2.0556905251354783E-3</v>
      </c>
      <c r="S208">
        <f t="shared" si="45"/>
        <v>21.600230193746384</v>
      </c>
      <c r="U208" s="1">
        <v>46017</v>
      </c>
      <c r="V208">
        <v>92.98</v>
      </c>
      <c r="W208">
        <f t="shared" si="40"/>
        <v>-3.1092527071940822E-3</v>
      </c>
      <c r="X208">
        <f t="shared" si="46"/>
        <v>21.988175857250347</v>
      </c>
      <c r="Z208">
        <f t="shared" si="47"/>
        <v>108.43492674129413</v>
      </c>
      <c r="AA208" s="10">
        <f t="shared" si="41"/>
        <v>-9.5673051819011867E-5</v>
      </c>
    </row>
    <row r="209" spans="1:27" x14ac:dyDescent="0.3">
      <c r="A209" s="1">
        <v>46020</v>
      </c>
      <c r="B209" s="2">
        <v>1001.9</v>
      </c>
      <c r="C209">
        <f t="shared" si="36"/>
        <v>-1.5911992928003188E-2</v>
      </c>
      <c r="D209">
        <f t="shared" si="42"/>
        <v>20.982198952879578</v>
      </c>
      <c r="F209" s="1">
        <v>46020</v>
      </c>
      <c r="G209">
        <v>376.2</v>
      </c>
      <c r="H209">
        <f t="shared" si="37"/>
        <v>-8.8262416018970429E-3</v>
      </c>
      <c r="I209">
        <f t="shared" si="43"/>
        <v>28.491698223128459</v>
      </c>
      <c r="K209" s="1">
        <v>46020</v>
      </c>
      <c r="L209">
        <v>479.4</v>
      </c>
      <c r="M209">
        <f t="shared" si="38"/>
        <v>-1.0219882316506753E-2</v>
      </c>
      <c r="N209">
        <f t="shared" si="44"/>
        <v>14.628596338273789</v>
      </c>
      <c r="P209" s="1">
        <v>46020</v>
      </c>
      <c r="Q209">
        <v>53.3</v>
      </c>
      <c r="R209">
        <f t="shared" si="39"/>
        <v>-5.9679224170085844E-3</v>
      </c>
      <c r="S209">
        <f t="shared" si="45"/>
        <v>21.471321695760579</v>
      </c>
      <c r="U209" s="1">
        <v>46020</v>
      </c>
      <c r="V209">
        <v>95.04</v>
      </c>
      <c r="W209">
        <f t="shared" si="40"/>
        <v>2.2155302215530245E-2</v>
      </c>
      <c r="X209">
        <f t="shared" si="46"/>
        <v>22.475330538535957</v>
      </c>
      <c r="Z209">
        <f t="shared" si="47"/>
        <v>108.04914574857835</v>
      </c>
      <c r="AA209" s="10">
        <f t="shared" si="41"/>
        <v>-3.5577189408370069E-3</v>
      </c>
    </row>
    <row r="210" spans="1:27" x14ac:dyDescent="0.3">
      <c r="A210" s="1">
        <v>46021</v>
      </c>
      <c r="B210" s="2">
        <v>1007.1</v>
      </c>
      <c r="C210">
        <f t="shared" si="36"/>
        <v>5.1901387364008842E-3</v>
      </c>
      <c r="D210">
        <f t="shared" si="42"/>
        <v>21.091099476439787</v>
      </c>
      <c r="F210" s="1">
        <v>46021</v>
      </c>
      <c r="G210">
        <v>374.35</v>
      </c>
      <c r="H210">
        <f t="shared" si="37"/>
        <v>-4.9175970228600907E-3</v>
      </c>
      <c r="I210">
        <f t="shared" si="43"/>
        <v>28.351587532770175</v>
      </c>
      <c r="K210" s="1">
        <v>46021</v>
      </c>
      <c r="L210">
        <v>471.15</v>
      </c>
      <c r="M210">
        <f t="shared" si="38"/>
        <v>-1.7209011264080101E-2</v>
      </c>
      <c r="N210">
        <f t="shared" si="44"/>
        <v>14.376852659110755</v>
      </c>
      <c r="P210" s="1">
        <v>46021</v>
      </c>
      <c r="Q210">
        <v>53.2</v>
      </c>
      <c r="R210">
        <f t="shared" si="39"/>
        <v>-1.8761726078798185E-3</v>
      </c>
      <c r="S210">
        <f t="shared" si="45"/>
        <v>21.431037790140017</v>
      </c>
      <c r="U210" s="1">
        <v>46021</v>
      </c>
      <c r="V210">
        <v>93.7</v>
      </c>
      <c r="W210">
        <f t="shared" si="40"/>
        <v>-1.4099326599326634E-2</v>
      </c>
      <c r="X210">
        <f t="shared" si="46"/>
        <v>22.158443512845317</v>
      </c>
      <c r="Z210">
        <f t="shared" si="47"/>
        <v>107.40902097130603</v>
      </c>
      <c r="AA210" s="10">
        <f t="shared" si="41"/>
        <v>-5.9243853603603291E-3</v>
      </c>
    </row>
    <row r="211" spans="1:27" x14ac:dyDescent="0.3">
      <c r="A211" s="1">
        <v>46022</v>
      </c>
      <c r="B211" s="2">
        <v>1015.1</v>
      </c>
      <c r="C211">
        <f t="shared" si="36"/>
        <v>7.9436004368980233E-3</v>
      </c>
      <c r="D211">
        <f t="shared" si="42"/>
        <v>21.258638743455492</v>
      </c>
      <c r="F211" s="1">
        <v>46022</v>
      </c>
      <c r="G211">
        <v>379.6</v>
      </c>
      <c r="H211">
        <f t="shared" si="37"/>
        <v>1.4024308801923333E-2</v>
      </c>
      <c r="I211">
        <f t="shared" si="43"/>
        <v>28.749198951354504</v>
      </c>
      <c r="K211" s="1">
        <v>46022</v>
      </c>
      <c r="L211">
        <v>469.75</v>
      </c>
      <c r="M211">
        <f t="shared" si="38"/>
        <v>-2.9714528281863046E-3</v>
      </c>
      <c r="N211">
        <f t="shared" si="44"/>
        <v>14.334132519616421</v>
      </c>
      <c r="P211" s="1">
        <v>46022</v>
      </c>
      <c r="Q211">
        <v>52.73</v>
      </c>
      <c r="R211">
        <f t="shared" si="39"/>
        <v>-8.8345864661655248E-3</v>
      </c>
      <c r="S211">
        <f t="shared" si="45"/>
        <v>21.241703433723366</v>
      </c>
      <c r="U211" s="1">
        <v>46022</v>
      </c>
      <c r="V211">
        <v>94.55</v>
      </c>
      <c r="W211">
        <f t="shared" si="40"/>
        <v>9.0715048025613049E-3</v>
      </c>
      <c r="X211">
        <f t="shared" si="46"/>
        <v>22.359453939589379</v>
      </c>
      <c r="Z211">
        <f t="shared" si="47"/>
        <v>107.94312758773916</v>
      </c>
      <c r="AA211" s="10">
        <f t="shared" si="41"/>
        <v>4.9726420704998553E-3</v>
      </c>
    </row>
    <row r="212" spans="1:27" x14ac:dyDescent="0.3">
      <c r="A212" s="1">
        <v>46023</v>
      </c>
      <c r="B212" s="2">
        <v>1025.9000000000001</v>
      </c>
      <c r="C212">
        <f t="shared" si="36"/>
        <v>1.063934587725354E-2</v>
      </c>
      <c r="D212">
        <f t="shared" si="42"/>
        <v>21.484816753926697</v>
      </c>
      <c r="F212" s="1">
        <v>46023</v>
      </c>
      <c r="G212">
        <v>381.85</v>
      </c>
      <c r="H212">
        <f t="shared" si="37"/>
        <v>5.9272918861959954E-3</v>
      </c>
      <c r="I212">
        <f t="shared" si="43"/>
        <v>28.9196038450335</v>
      </c>
      <c r="K212" s="1">
        <v>46023</v>
      </c>
      <c r="L212">
        <v>482.45</v>
      </c>
      <c r="M212">
        <f t="shared" si="38"/>
        <v>2.7035657264502369E-2</v>
      </c>
      <c r="N212">
        <f t="shared" si="44"/>
        <v>14.721665213600728</v>
      </c>
      <c r="P212" s="1">
        <v>46023</v>
      </c>
      <c r="Q212">
        <v>52</v>
      </c>
      <c r="R212">
        <f t="shared" si="39"/>
        <v>-1.3844111511473486E-2</v>
      </c>
      <c r="S212">
        <f t="shared" si="45"/>
        <v>20.94763092269325</v>
      </c>
      <c r="U212" s="1">
        <v>46023</v>
      </c>
      <c r="V212">
        <v>95.21</v>
      </c>
      <c r="W212">
        <f t="shared" si="40"/>
        <v>6.980433632998378E-3</v>
      </c>
      <c r="X212">
        <f t="shared" si="46"/>
        <v>22.515532623884766</v>
      </c>
      <c r="Z212">
        <f t="shared" si="47"/>
        <v>108.58924935913895</v>
      </c>
      <c r="AA212" s="10">
        <f t="shared" si="41"/>
        <v>5.9857610747344747E-3</v>
      </c>
    </row>
    <row r="213" spans="1:27" x14ac:dyDescent="0.3">
      <c r="A213" s="1">
        <v>46024</v>
      </c>
      <c r="B213" s="2">
        <v>1038.8</v>
      </c>
      <c r="C213">
        <f t="shared" si="36"/>
        <v>1.2574324982941674E-2</v>
      </c>
      <c r="D213">
        <f t="shared" si="42"/>
        <v>21.754973821989523</v>
      </c>
      <c r="F213" s="1">
        <v>46024</v>
      </c>
      <c r="G213">
        <v>393.1</v>
      </c>
      <c r="H213">
        <f t="shared" si="37"/>
        <v>2.94618305617389E-2</v>
      </c>
      <c r="I213">
        <f t="shared" si="43"/>
        <v>29.77162831342849</v>
      </c>
      <c r="K213" s="1">
        <v>46024</v>
      </c>
      <c r="L213">
        <v>502</v>
      </c>
      <c r="M213">
        <f t="shared" si="38"/>
        <v>4.0522333920613558E-2</v>
      </c>
      <c r="N213">
        <f t="shared" si="44"/>
        <v>15.318221447253737</v>
      </c>
      <c r="P213" s="1">
        <v>46024</v>
      </c>
      <c r="Q213">
        <v>52.67</v>
      </c>
      <c r="R213">
        <f t="shared" si="39"/>
        <v>1.2884615384615418E-2</v>
      </c>
      <c r="S213">
        <f t="shared" si="45"/>
        <v>21.217533090351029</v>
      </c>
      <c r="U213" s="1">
        <v>46024</v>
      </c>
      <c r="V213">
        <v>97.11</v>
      </c>
      <c r="W213">
        <f t="shared" si="40"/>
        <v>1.9955886986661127E-2</v>
      </c>
      <c r="X213">
        <f t="shared" si="46"/>
        <v>22.964850048371492</v>
      </c>
      <c r="Z213">
        <f t="shared" si="47"/>
        <v>111.02720672139428</v>
      </c>
      <c r="AA213" s="10">
        <f t="shared" si="41"/>
        <v>2.2451185330439438E-2</v>
      </c>
    </row>
    <row r="214" spans="1:27" x14ac:dyDescent="0.3">
      <c r="A214" s="1">
        <v>46027</v>
      </c>
      <c r="B214" s="2">
        <v>1030.5</v>
      </c>
      <c r="C214">
        <f t="shared" si="36"/>
        <v>-7.9899884482094296E-3</v>
      </c>
      <c r="D214">
        <f t="shared" si="42"/>
        <v>21.58115183246073</v>
      </c>
      <c r="F214" s="1">
        <v>46027</v>
      </c>
      <c r="G214">
        <v>388.85</v>
      </c>
      <c r="H214">
        <f t="shared" si="37"/>
        <v>-1.0811498346476723E-2</v>
      </c>
      <c r="I214">
        <f t="shared" si="43"/>
        <v>29.449752403145936</v>
      </c>
      <c r="K214" s="1">
        <v>46027</v>
      </c>
      <c r="L214">
        <v>510.65</v>
      </c>
      <c r="M214">
        <f t="shared" si="38"/>
        <v>1.723107569721111E-2</v>
      </c>
      <c r="N214">
        <f t="shared" si="44"/>
        <v>15.58217088055801</v>
      </c>
      <c r="P214" s="1">
        <v>46027</v>
      </c>
      <c r="Q214">
        <v>52.47</v>
      </c>
      <c r="R214">
        <f t="shared" si="39"/>
        <v>-3.7972280235428675E-3</v>
      </c>
      <c r="S214">
        <f t="shared" si="45"/>
        <v>21.136965279109901</v>
      </c>
      <c r="U214" s="1">
        <v>46027</v>
      </c>
      <c r="V214">
        <v>96.01</v>
      </c>
      <c r="W214">
        <f t="shared" si="40"/>
        <v>-1.1327360724951028E-2</v>
      </c>
      <c r="X214">
        <f t="shared" si="46"/>
        <v>22.70471890787918</v>
      </c>
      <c r="Z214">
        <f t="shared" si="47"/>
        <v>110.45475930315376</v>
      </c>
      <c r="AA214" s="10">
        <f t="shared" si="41"/>
        <v>-5.1559202032073204E-3</v>
      </c>
    </row>
    <row r="215" spans="1:27" x14ac:dyDescent="0.3">
      <c r="A215" s="1">
        <v>46028</v>
      </c>
      <c r="B215" s="2">
        <v>1019.4</v>
      </c>
      <c r="C215">
        <f t="shared" si="36"/>
        <v>-1.077147016011647E-2</v>
      </c>
      <c r="D215">
        <f t="shared" si="42"/>
        <v>21.348691099476437</v>
      </c>
      <c r="F215" s="1">
        <v>46028</v>
      </c>
      <c r="G215">
        <v>386.5</v>
      </c>
      <c r="H215">
        <f t="shared" si="37"/>
        <v>-6.0434614890061012E-3</v>
      </c>
      <c r="I215">
        <f t="shared" si="43"/>
        <v>29.271773958636757</v>
      </c>
      <c r="K215" s="1">
        <v>46028</v>
      </c>
      <c r="L215">
        <v>516.9</v>
      </c>
      <c r="M215">
        <f t="shared" si="38"/>
        <v>1.2239302849309705E-2</v>
      </c>
      <c r="N215">
        <f t="shared" si="44"/>
        <v>15.772885789014856</v>
      </c>
      <c r="P215" s="1">
        <v>46028</v>
      </c>
      <c r="Q215">
        <v>54.28</v>
      </c>
      <c r="R215">
        <f t="shared" si="39"/>
        <v>3.4495902420430768E-2</v>
      </c>
      <c r="S215">
        <f t="shared" si="45"/>
        <v>21.866103970842111</v>
      </c>
      <c r="U215" s="1">
        <v>46028</v>
      </c>
      <c r="V215">
        <v>93.95</v>
      </c>
      <c r="W215">
        <f t="shared" si="40"/>
        <v>-2.1456098323091366E-2</v>
      </c>
      <c r="X215">
        <f t="shared" si="46"/>
        <v>22.217564226593574</v>
      </c>
      <c r="Z215">
        <f t="shared" si="47"/>
        <v>110.47701904456375</v>
      </c>
      <c r="AA215" s="10">
        <f t="shared" si="41"/>
        <v>2.0152813287910298E-4</v>
      </c>
    </row>
    <row r="216" spans="1:27" x14ac:dyDescent="0.3">
      <c r="A216" s="1">
        <v>46029</v>
      </c>
      <c r="B216" s="2">
        <v>1019.2</v>
      </c>
      <c r="C216">
        <f t="shared" si="36"/>
        <v>-1.9619383951337236E-4</v>
      </c>
      <c r="D216">
        <f t="shared" si="42"/>
        <v>21.344502617801044</v>
      </c>
      <c r="F216" s="1">
        <v>46029</v>
      </c>
      <c r="G216">
        <v>380.75</v>
      </c>
      <c r="H216">
        <f t="shared" si="37"/>
        <v>-1.4877102199223804E-2</v>
      </c>
      <c r="I216">
        <f t="shared" si="43"/>
        <v>28.83629478590154</v>
      </c>
      <c r="K216" s="1">
        <v>46029</v>
      </c>
      <c r="L216">
        <v>514.85</v>
      </c>
      <c r="M216">
        <f t="shared" si="38"/>
        <v>-3.9659508609014406E-3</v>
      </c>
      <c r="N216">
        <f t="shared" si="44"/>
        <v>15.710331299041012</v>
      </c>
      <c r="P216" s="1">
        <v>46029</v>
      </c>
      <c r="Q216">
        <v>53.67</v>
      </c>
      <c r="R216">
        <f t="shared" si="39"/>
        <v>-1.1238025055268965E-2</v>
      </c>
      <c r="S216">
        <f t="shared" si="45"/>
        <v>21.620372146556672</v>
      </c>
      <c r="U216" s="1">
        <v>46029</v>
      </c>
      <c r="V216">
        <v>94.07</v>
      </c>
      <c r="W216">
        <f t="shared" si="40"/>
        <v>1.277275146354341E-3</v>
      </c>
      <c r="X216">
        <f t="shared" si="46"/>
        <v>22.245942169192734</v>
      </c>
      <c r="Z216">
        <f t="shared" si="47"/>
        <v>109.75744301849301</v>
      </c>
      <c r="AA216" s="10">
        <f t="shared" si="41"/>
        <v>-6.5133548342798386E-3</v>
      </c>
    </row>
    <row r="217" spans="1:27" x14ac:dyDescent="0.3">
      <c r="A217" s="1">
        <v>46030</v>
      </c>
      <c r="B217">
        <v>988.8</v>
      </c>
      <c r="C217">
        <f t="shared" si="36"/>
        <v>-2.9827315541601344E-2</v>
      </c>
      <c r="D217">
        <f t="shared" si="42"/>
        <v>20.707853403141357</v>
      </c>
      <c r="F217" s="1">
        <v>46030</v>
      </c>
      <c r="G217">
        <v>374.2</v>
      </c>
      <c r="H217">
        <f t="shared" si="37"/>
        <v>-1.7202889034799766E-2</v>
      </c>
      <c r="I217">
        <f t="shared" si="43"/>
        <v>28.340227206524901</v>
      </c>
      <c r="K217" s="1">
        <v>46030</v>
      </c>
      <c r="L217">
        <v>512.6</v>
      </c>
      <c r="M217">
        <f t="shared" si="38"/>
        <v>-4.3702049140526365E-3</v>
      </c>
      <c r="N217">
        <f t="shared" si="44"/>
        <v>15.641673931996548</v>
      </c>
      <c r="P217" s="1">
        <v>46030</v>
      </c>
      <c r="Q217">
        <v>53.45</v>
      </c>
      <c r="R217">
        <f t="shared" si="39"/>
        <v>-4.0991242779951339E-3</v>
      </c>
      <c r="S217">
        <f t="shared" si="45"/>
        <v>21.531747554191433</v>
      </c>
      <c r="U217" s="1">
        <v>46030</v>
      </c>
      <c r="V217">
        <v>92.46</v>
      </c>
      <c r="W217">
        <f t="shared" si="40"/>
        <v>-1.7114914425427868E-2</v>
      </c>
      <c r="X217">
        <f t="shared" si="46"/>
        <v>21.865204772653982</v>
      </c>
      <c r="Z217">
        <f t="shared" si="47"/>
        <v>108.08670686850822</v>
      </c>
      <c r="AA217" s="10">
        <f t="shared" si="41"/>
        <v>-1.522207609832249E-2</v>
      </c>
    </row>
    <row r="218" spans="1:27" x14ac:dyDescent="0.3">
      <c r="A218" s="1">
        <v>46031</v>
      </c>
      <c r="B218">
        <v>946.1</v>
      </c>
      <c r="C218">
        <f t="shared" si="36"/>
        <v>-4.3183656957928737E-2</v>
      </c>
      <c r="D218">
        <f t="shared" si="42"/>
        <v>19.813612565445023</v>
      </c>
      <c r="F218" s="1">
        <v>46031</v>
      </c>
      <c r="G218">
        <v>364.8</v>
      </c>
      <c r="H218">
        <f t="shared" si="37"/>
        <v>-2.5120256547300848E-2</v>
      </c>
      <c r="I218">
        <f t="shared" si="43"/>
        <v>27.628313428488198</v>
      </c>
      <c r="K218" s="1">
        <v>46031</v>
      </c>
      <c r="L218">
        <v>499.7</v>
      </c>
      <c r="M218">
        <f t="shared" si="38"/>
        <v>-2.5165821303160425E-2</v>
      </c>
      <c r="N218">
        <f t="shared" si="44"/>
        <v>15.248038360941619</v>
      </c>
      <c r="P218" s="1">
        <v>46031</v>
      </c>
      <c r="Q218">
        <v>52.9</v>
      </c>
      <c r="R218">
        <f t="shared" si="39"/>
        <v>-1.0289990645463128E-2</v>
      </c>
      <c r="S218">
        <f t="shared" si="45"/>
        <v>21.310186073278331</v>
      </c>
      <c r="U218" s="1">
        <v>46031</v>
      </c>
      <c r="V218">
        <v>90.76</v>
      </c>
      <c r="W218">
        <f t="shared" si="40"/>
        <v>-1.8386329223447857E-2</v>
      </c>
      <c r="X218">
        <f t="shared" si="46"/>
        <v>21.463183919165864</v>
      </c>
      <c r="Z218">
        <f t="shared" si="47"/>
        <v>105.46333434731903</v>
      </c>
      <c r="AA218" s="10">
        <f t="shared" si="41"/>
        <v>-2.4271000543856114E-2</v>
      </c>
    </row>
    <row r="219" spans="1:27" x14ac:dyDescent="0.3">
      <c r="A219" s="1">
        <v>46034</v>
      </c>
      <c r="B219">
        <v>942.2</v>
      </c>
      <c r="C219">
        <f t="shared" si="36"/>
        <v>-4.1221858154528879E-3</v>
      </c>
      <c r="D219">
        <f t="shared" si="42"/>
        <v>19.731937172774867</v>
      </c>
      <c r="F219" s="1">
        <v>46034</v>
      </c>
      <c r="G219">
        <v>370.6</v>
      </c>
      <c r="H219">
        <f t="shared" si="37"/>
        <v>1.5899122807017576E-2</v>
      </c>
      <c r="I219">
        <f t="shared" si="43"/>
        <v>28.067579376638506</v>
      </c>
      <c r="K219" s="1">
        <v>46034</v>
      </c>
      <c r="L219">
        <v>490.25</v>
      </c>
      <c r="M219">
        <f t="shared" si="38"/>
        <v>-1.8911346808084827E-2</v>
      </c>
      <c r="N219">
        <f t="shared" si="44"/>
        <v>14.95967741935487</v>
      </c>
      <c r="P219" s="1">
        <v>46034</v>
      </c>
      <c r="Q219">
        <v>50.93</v>
      </c>
      <c r="R219">
        <f t="shared" si="39"/>
        <v>-3.7240075614366708E-2</v>
      </c>
      <c r="S219">
        <f t="shared" si="45"/>
        <v>20.516593132553222</v>
      </c>
      <c r="U219" s="1">
        <v>46034</v>
      </c>
      <c r="V219">
        <v>90.31</v>
      </c>
      <c r="W219">
        <f t="shared" si="40"/>
        <v>-4.9581313353900709E-3</v>
      </c>
      <c r="X219">
        <f t="shared" si="46"/>
        <v>21.35676663441901</v>
      </c>
      <c r="Z219">
        <f t="shared" si="47"/>
        <v>104.63255373574047</v>
      </c>
      <c r="AA219" s="10">
        <f t="shared" si="41"/>
        <v>-7.8774354776474098E-3</v>
      </c>
    </row>
    <row r="220" spans="1:27" x14ac:dyDescent="0.3">
      <c r="A220" s="1">
        <v>46035</v>
      </c>
      <c r="B220">
        <v>936.7</v>
      </c>
      <c r="C220">
        <f t="shared" si="36"/>
        <v>-5.8374018255147528E-3</v>
      </c>
      <c r="D220">
        <f t="shared" si="42"/>
        <v>19.61675392670157</v>
      </c>
      <c r="F220" s="1">
        <v>46035</v>
      </c>
      <c r="G220">
        <v>368.45</v>
      </c>
      <c r="H220">
        <f t="shared" si="37"/>
        <v>-5.8014031300594546E-3</v>
      </c>
      <c r="I220">
        <f t="shared" si="43"/>
        <v>27.90474803378968</v>
      </c>
      <c r="K220" s="1">
        <v>46035</v>
      </c>
      <c r="L220">
        <v>498.8</v>
      </c>
      <c r="M220">
        <f t="shared" si="38"/>
        <v>1.744008159102501E-2</v>
      </c>
      <c r="N220">
        <f t="shared" si="44"/>
        <v>15.220575414123832</v>
      </c>
      <c r="P220" s="1">
        <v>46035</v>
      </c>
      <c r="Q220">
        <v>49.2</v>
      </c>
      <c r="R220">
        <f t="shared" si="39"/>
        <v>-3.3968191635578182E-2</v>
      </c>
      <c r="S220">
        <f t="shared" si="45"/>
        <v>19.819681565317467</v>
      </c>
      <c r="U220" s="1">
        <v>46035</v>
      </c>
      <c r="V220">
        <v>91.66</v>
      </c>
      <c r="W220">
        <f t="shared" si="40"/>
        <v>1.4948510685416834E-2</v>
      </c>
      <c r="X220">
        <f t="shared" si="46"/>
        <v>21.676018488659576</v>
      </c>
      <c r="Z220">
        <f t="shared" si="47"/>
        <v>104.23777742859212</v>
      </c>
      <c r="AA220" s="10">
        <f t="shared" si="41"/>
        <v>-3.7729778453595708E-3</v>
      </c>
    </row>
    <row r="221" spans="1:27" x14ac:dyDescent="0.3">
      <c r="A221" s="1">
        <v>46036</v>
      </c>
      <c r="B221">
        <v>935.3</v>
      </c>
      <c r="C221">
        <f t="shared" si="36"/>
        <v>-1.4946087327854071E-3</v>
      </c>
      <c r="D221">
        <f t="shared" si="42"/>
        <v>19.587434554973818</v>
      </c>
      <c r="F221" s="1">
        <v>46036</v>
      </c>
      <c r="G221">
        <v>367.4</v>
      </c>
      <c r="H221">
        <f t="shared" si="37"/>
        <v>-2.8497760890216078E-3</v>
      </c>
      <c r="I221">
        <f t="shared" si="43"/>
        <v>27.825225750072814</v>
      </c>
      <c r="K221" s="1">
        <v>46036</v>
      </c>
      <c r="L221">
        <v>494.15</v>
      </c>
      <c r="M221">
        <f t="shared" si="38"/>
        <v>-9.3223736968725615E-3</v>
      </c>
      <c r="N221">
        <f t="shared" si="44"/>
        <v>15.078683522231938</v>
      </c>
      <c r="P221" s="1">
        <v>46036</v>
      </c>
      <c r="Q221">
        <v>49.2</v>
      </c>
      <c r="R221">
        <f t="shared" si="39"/>
        <v>0</v>
      </c>
      <c r="S221">
        <f t="shared" si="45"/>
        <v>19.819681565317467</v>
      </c>
      <c r="U221" s="1">
        <v>46036</v>
      </c>
      <c r="V221">
        <v>91.75</v>
      </c>
      <c r="W221">
        <f t="shared" si="40"/>
        <v>9.8188959197036238E-4</v>
      </c>
      <c r="X221">
        <f t="shared" si="46"/>
        <v>21.697301945608949</v>
      </c>
      <c r="Z221">
        <f t="shared" si="47"/>
        <v>104.00832733820499</v>
      </c>
      <c r="AA221" s="10">
        <f t="shared" si="41"/>
        <v>-2.2012181768199524E-3</v>
      </c>
    </row>
    <row r="222" spans="1:27" x14ac:dyDescent="0.3">
      <c r="A222" s="1">
        <v>46038</v>
      </c>
      <c r="B222">
        <v>930.1</v>
      </c>
      <c r="C222">
        <f t="shared" si="36"/>
        <v>-5.559713460921557E-3</v>
      </c>
      <c r="D222">
        <f t="shared" si="42"/>
        <v>19.478534031413609</v>
      </c>
      <c r="F222" s="1">
        <v>46038</v>
      </c>
      <c r="G222">
        <v>366.1</v>
      </c>
      <c r="H222">
        <f t="shared" si="37"/>
        <v>-3.5383777898746723E-3</v>
      </c>
      <c r="I222">
        <f t="shared" si="43"/>
        <v>27.726769589280508</v>
      </c>
      <c r="K222" s="1">
        <v>46038</v>
      </c>
      <c r="L222">
        <v>494.65</v>
      </c>
      <c r="M222">
        <f t="shared" si="38"/>
        <v>1.0118385105737126E-3</v>
      </c>
      <c r="N222">
        <f t="shared" si="44"/>
        <v>15.093940714908486</v>
      </c>
      <c r="P222" s="1">
        <v>46038</v>
      </c>
      <c r="Q222">
        <v>48.69</v>
      </c>
      <c r="R222">
        <f t="shared" si="39"/>
        <v>-1.0365853658536688E-2</v>
      </c>
      <c r="S222">
        <f t="shared" si="45"/>
        <v>19.61423364665259</v>
      </c>
      <c r="U222" s="1">
        <v>46038</v>
      </c>
      <c r="V222">
        <v>92.4</v>
      </c>
      <c r="W222">
        <f t="shared" si="40"/>
        <v>7.0844686648501983E-3</v>
      </c>
      <c r="X222">
        <f t="shared" si="46"/>
        <v>21.851015801354407</v>
      </c>
      <c r="Z222">
        <f t="shared" si="47"/>
        <v>103.76449378360959</v>
      </c>
      <c r="AA222" s="10">
        <f t="shared" si="41"/>
        <v>-2.3443656948979319E-3</v>
      </c>
    </row>
    <row r="223" spans="1:27" x14ac:dyDescent="0.3">
      <c r="A223" s="1">
        <v>46041</v>
      </c>
      <c r="B223">
        <v>914</v>
      </c>
      <c r="C223">
        <f t="shared" si="36"/>
        <v>-1.7309966670250535E-2</v>
      </c>
      <c r="D223">
        <f t="shared" si="42"/>
        <v>19.141361256544499</v>
      </c>
      <c r="F223" s="1">
        <v>46041</v>
      </c>
      <c r="G223">
        <v>363.2</v>
      </c>
      <c r="H223">
        <f t="shared" si="37"/>
        <v>-7.9213329691342083E-3</v>
      </c>
      <c r="I223">
        <f t="shared" si="43"/>
        <v>27.507136615205351</v>
      </c>
      <c r="K223" s="1">
        <v>46041</v>
      </c>
      <c r="L223">
        <v>492.8</v>
      </c>
      <c r="M223">
        <f t="shared" si="38"/>
        <v>-3.7400181946830404E-3</v>
      </c>
      <c r="N223">
        <f t="shared" si="44"/>
        <v>15.03748910200526</v>
      </c>
      <c r="P223" s="1">
        <v>46041</v>
      </c>
      <c r="Q223">
        <v>49.01</v>
      </c>
      <c r="R223">
        <f t="shared" si="39"/>
        <v>6.5721914150749699E-3</v>
      </c>
      <c r="S223">
        <f t="shared" si="45"/>
        <v>19.743142144638394</v>
      </c>
      <c r="U223" s="1">
        <v>46041</v>
      </c>
      <c r="V223">
        <v>92.15</v>
      </c>
      <c r="W223">
        <f t="shared" si="40"/>
        <v>-2.7056277056277055E-3</v>
      </c>
      <c r="X223">
        <f t="shared" si="46"/>
        <v>21.791895087606154</v>
      </c>
      <c r="Z223">
        <f t="shared" si="47"/>
        <v>103.22102420599965</v>
      </c>
      <c r="AA223" s="10">
        <f t="shared" si="41"/>
        <v>-5.2375293107803644E-3</v>
      </c>
    </row>
    <row r="224" spans="1:27" x14ac:dyDescent="0.3">
      <c r="A224" s="1">
        <v>46042</v>
      </c>
      <c r="B224">
        <v>883.2</v>
      </c>
      <c r="C224">
        <f t="shared" si="36"/>
        <v>-3.3698030634573252E-2</v>
      </c>
      <c r="D224">
        <f t="shared" si="42"/>
        <v>18.496335078534031</v>
      </c>
      <c r="F224" s="1">
        <v>46042</v>
      </c>
      <c r="G224">
        <v>352.95</v>
      </c>
      <c r="H224">
        <f t="shared" si="37"/>
        <v>-2.8221365638766521E-2</v>
      </c>
      <c r="I224">
        <f t="shared" si="43"/>
        <v>26.730847655112136</v>
      </c>
      <c r="K224" s="1">
        <v>46042</v>
      </c>
      <c r="L224">
        <v>486.35</v>
      </c>
      <c r="M224">
        <f t="shared" si="38"/>
        <v>-1.3088474025974003E-2</v>
      </c>
      <c r="N224">
        <f t="shared" si="44"/>
        <v>14.840671316477797</v>
      </c>
      <c r="P224" s="1">
        <v>46042</v>
      </c>
      <c r="Q224">
        <v>48.45</v>
      </c>
      <c r="R224">
        <f t="shared" si="39"/>
        <v>-1.142623954295032E-2</v>
      </c>
      <c r="S224">
        <f t="shared" si="45"/>
        <v>19.51755227316324</v>
      </c>
      <c r="U224" s="1">
        <v>46042</v>
      </c>
      <c r="V224">
        <v>90.59</v>
      </c>
      <c r="W224">
        <f t="shared" si="40"/>
        <v>-1.6928920238741207E-2</v>
      </c>
      <c r="X224">
        <f t="shared" si="46"/>
        <v>21.422981833817051</v>
      </c>
      <c r="Z224">
        <f t="shared" si="47"/>
        <v>101.00838815710426</v>
      </c>
      <c r="AA224" s="10">
        <f t="shared" si="41"/>
        <v>-2.1435904806365813E-2</v>
      </c>
    </row>
    <row r="225" spans="1:27" x14ac:dyDescent="0.3">
      <c r="A225" s="1">
        <v>46043</v>
      </c>
      <c r="B225">
        <v>878.7</v>
      </c>
      <c r="C225">
        <f t="shared" si="36"/>
        <v>-5.095108695652174E-3</v>
      </c>
      <c r="D225">
        <f t="shared" si="42"/>
        <v>18.402094240837695</v>
      </c>
      <c r="F225" s="1">
        <v>46043</v>
      </c>
      <c r="G225">
        <v>349.35</v>
      </c>
      <c r="H225">
        <f t="shared" si="37"/>
        <v>-1.0199745006374744E-2</v>
      </c>
      <c r="I225">
        <f t="shared" si="43"/>
        <v>26.458199825225741</v>
      </c>
      <c r="K225" s="1">
        <v>46043</v>
      </c>
      <c r="L225">
        <v>479.1</v>
      </c>
      <c r="M225">
        <f t="shared" si="38"/>
        <v>-1.4906960008224529E-2</v>
      </c>
      <c r="N225">
        <f t="shared" si="44"/>
        <v>14.619442022667858</v>
      </c>
      <c r="P225" s="1">
        <v>46043</v>
      </c>
      <c r="Q225">
        <v>47.98</v>
      </c>
      <c r="R225">
        <f t="shared" si="39"/>
        <v>-9.7007223942209685E-3</v>
      </c>
      <c r="S225">
        <f t="shared" si="45"/>
        <v>19.328217916746588</v>
      </c>
      <c r="U225" s="1">
        <v>46043</v>
      </c>
      <c r="V225">
        <v>89.35</v>
      </c>
      <c r="W225">
        <f t="shared" si="40"/>
        <v>-1.3688045038083773E-2</v>
      </c>
      <c r="X225">
        <f t="shared" si="46"/>
        <v>21.129743093625713</v>
      </c>
      <c r="Z225">
        <f t="shared" si="47"/>
        <v>99.937697099103588</v>
      </c>
      <c r="AA225" s="10">
        <f t="shared" si="41"/>
        <v>-1.0600021221360056E-2</v>
      </c>
    </row>
    <row r="226" spans="1:27" x14ac:dyDescent="0.3">
      <c r="A226" s="1">
        <v>46044</v>
      </c>
      <c r="B226">
        <v>904.3</v>
      </c>
      <c r="C226">
        <f t="shared" si="36"/>
        <v>2.9133947877546269E-2</v>
      </c>
      <c r="D226">
        <f t="shared" si="42"/>
        <v>18.938219895287954</v>
      </c>
      <c r="F226" s="1">
        <v>46044</v>
      </c>
      <c r="G226">
        <v>353.3</v>
      </c>
      <c r="H226">
        <f t="shared" si="37"/>
        <v>1.1306712466008268E-2</v>
      </c>
      <c r="I226">
        <f t="shared" si="43"/>
        <v>26.757355083017757</v>
      </c>
      <c r="K226" s="1">
        <v>46044</v>
      </c>
      <c r="L226">
        <v>477.8</v>
      </c>
      <c r="M226">
        <f t="shared" si="38"/>
        <v>-2.713420997704052E-3</v>
      </c>
      <c r="N226">
        <f t="shared" si="44"/>
        <v>14.579773321708835</v>
      </c>
      <c r="P226" s="1">
        <v>46044</v>
      </c>
      <c r="Q226">
        <v>46.34</v>
      </c>
      <c r="R226">
        <f t="shared" si="39"/>
        <v>-3.4180908711963186E-2</v>
      </c>
      <c r="S226">
        <f t="shared" si="45"/>
        <v>18.66756186456934</v>
      </c>
      <c r="U226" s="1">
        <v>46044</v>
      </c>
      <c r="V226">
        <v>91.17</v>
      </c>
      <c r="W226">
        <f t="shared" si="40"/>
        <v>2.036933407946287E-2</v>
      </c>
      <c r="X226">
        <f t="shared" si="46"/>
        <v>21.560141889712998</v>
      </c>
      <c r="Z226">
        <f t="shared" si="47"/>
        <v>100.50305205429689</v>
      </c>
      <c r="AA226" s="10">
        <f t="shared" si="41"/>
        <v>5.6570740731864966E-3</v>
      </c>
    </row>
    <row r="227" spans="1:27" x14ac:dyDescent="0.3">
      <c r="A227" s="1">
        <v>46045</v>
      </c>
      <c r="B227">
        <v>772.8</v>
      </c>
      <c r="C227">
        <f t="shared" si="36"/>
        <v>-0.14541634413358401</v>
      </c>
      <c r="D227">
        <f t="shared" si="42"/>
        <v>16.184293193717274</v>
      </c>
      <c r="F227" s="1">
        <v>46045</v>
      </c>
      <c r="G227">
        <v>345.25</v>
      </c>
      <c r="H227">
        <f t="shared" si="37"/>
        <v>-2.2785168412114382E-2</v>
      </c>
      <c r="I227">
        <f t="shared" si="43"/>
        <v>26.14768424118845</v>
      </c>
      <c r="K227" s="1">
        <v>46045</v>
      </c>
      <c r="L227">
        <v>492.35</v>
      </c>
      <c r="M227">
        <f t="shared" si="38"/>
        <v>3.0452071996651342E-2</v>
      </c>
      <c r="N227">
        <f t="shared" si="44"/>
        <v>15.023757628596368</v>
      </c>
      <c r="P227" s="1">
        <v>46045</v>
      </c>
      <c r="Q227">
        <v>45.53</v>
      </c>
      <c r="R227">
        <f t="shared" si="39"/>
        <v>-1.7479499352611182E-2</v>
      </c>
      <c r="S227">
        <f t="shared" si="45"/>
        <v>18.341262229042773</v>
      </c>
      <c r="U227" s="1">
        <v>46045</v>
      </c>
      <c r="V227">
        <v>90.3</v>
      </c>
      <c r="W227">
        <f t="shared" si="40"/>
        <v>-9.5426127015466114E-3</v>
      </c>
      <c r="X227">
        <f t="shared" si="46"/>
        <v>21.354401805869074</v>
      </c>
      <c r="Z227">
        <f t="shared" si="47"/>
        <v>97.051399098413953</v>
      </c>
      <c r="AA227" s="10">
        <f t="shared" si="41"/>
        <v>-3.4343762555769652E-2</v>
      </c>
    </row>
    <row r="228" spans="1:27" x14ac:dyDescent="0.3">
      <c r="A228" s="1">
        <v>46049</v>
      </c>
      <c r="B228">
        <v>799.1</v>
      </c>
      <c r="C228">
        <f t="shared" si="36"/>
        <v>3.4032091097308578E-2</v>
      </c>
      <c r="D228">
        <f t="shared" si="42"/>
        <v>16.735078534031413</v>
      </c>
      <c r="F228" s="1">
        <v>46049</v>
      </c>
      <c r="G228">
        <v>347.75</v>
      </c>
      <c r="H228">
        <f t="shared" si="37"/>
        <v>7.2411296162201303E-3</v>
      </c>
      <c r="I228">
        <f t="shared" si="43"/>
        <v>26.33702301194289</v>
      </c>
      <c r="K228" s="1">
        <v>46049</v>
      </c>
      <c r="L228">
        <v>477.65</v>
      </c>
      <c r="M228">
        <f t="shared" si="38"/>
        <v>-2.9856809180461144E-2</v>
      </c>
      <c r="N228">
        <f t="shared" si="44"/>
        <v>14.575196163905868</v>
      </c>
      <c r="P228" s="1">
        <v>46049</v>
      </c>
      <c r="Q228">
        <v>46.99</v>
      </c>
      <c r="R228">
        <f t="shared" si="39"/>
        <v>3.2066769163189124E-2</v>
      </c>
      <c r="S228">
        <f t="shared" si="45"/>
        <v>18.929407251103004</v>
      </c>
      <c r="U228" s="1">
        <v>46049</v>
      </c>
      <c r="V228">
        <v>90.06</v>
      </c>
      <c r="W228">
        <f t="shared" si="40"/>
        <v>-2.657807308970043E-3</v>
      </c>
      <c r="X228">
        <f t="shared" si="46"/>
        <v>21.297645920670753</v>
      </c>
      <c r="Z228">
        <f t="shared" si="47"/>
        <v>97.874350881653939</v>
      </c>
      <c r="AA228" s="10">
        <f t="shared" si="41"/>
        <v>8.47954579619703E-3</v>
      </c>
    </row>
    <row r="229" spans="1:27" x14ac:dyDescent="0.3">
      <c r="A229" s="1">
        <v>46050</v>
      </c>
      <c r="B229">
        <v>822.9</v>
      </c>
      <c r="C229">
        <f t="shared" si="36"/>
        <v>2.9783506444750286E-2</v>
      </c>
      <c r="D229">
        <f t="shared" si="42"/>
        <v>17.23350785340314</v>
      </c>
      <c r="F229" s="1">
        <v>46050</v>
      </c>
      <c r="G229">
        <v>355.05</v>
      </c>
      <c r="H229">
        <f t="shared" si="37"/>
        <v>2.0992092020129437E-2</v>
      </c>
      <c r="I229">
        <f t="shared" si="43"/>
        <v>26.889892222545861</v>
      </c>
      <c r="K229" s="1">
        <v>46050</v>
      </c>
      <c r="L229">
        <v>440.05</v>
      </c>
      <c r="M229">
        <f t="shared" si="38"/>
        <v>-7.871872710143403E-2</v>
      </c>
      <c r="N229">
        <f t="shared" si="44"/>
        <v>13.427855274629495</v>
      </c>
      <c r="P229" s="1">
        <v>46050</v>
      </c>
      <c r="Q229">
        <v>45.7</v>
      </c>
      <c r="R229">
        <f t="shared" si="39"/>
        <v>-2.7452649499893574E-2</v>
      </c>
      <c r="S229">
        <f t="shared" si="45"/>
        <v>18.409744868597731</v>
      </c>
      <c r="U229" s="1">
        <v>46050</v>
      </c>
      <c r="V229">
        <v>93.57</v>
      </c>
      <c r="W229">
        <f t="shared" si="40"/>
        <v>3.8974017321785376E-2</v>
      </c>
      <c r="X229">
        <f t="shared" si="46"/>
        <v>22.127700741696227</v>
      </c>
      <c r="Z229">
        <f t="shared" si="47"/>
        <v>98.088700960872458</v>
      </c>
      <c r="AA229" s="10">
        <f t="shared" si="41"/>
        <v>2.190053648250645E-3</v>
      </c>
    </row>
    <row r="230" spans="1:27" x14ac:dyDescent="0.3">
      <c r="A230" s="1">
        <v>46051</v>
      </c>
      <c r="B230">
        <v>858.8</v>
      </c>
      <c r="C230">
        <f t="shared" si="36"/>
        <v>4.3626200024304264E-2</v>
      </c>
      <c r="D230">
        <f t="shared" si="42"/>
        <v>17.985340314136121</v>
      </c>
      <c r="F230" s="1">
        <v>46051</v>
      </c>
      <c r="G230">
        <v>366.45</v>
      </c>
      <c r="H230">
        <f t="shared" si="37"/>
        <v>3.2108153781157521E-2</v>
      </c>
      <c r="I230">
        <f t="shared" si="43"/>
        <v>27.753277017186118</v>
      </c>
      <c r="K230" s="1">
        <v>46051</v>
      </c>
      <c r="L230">
        <v>446.25</v>
      </c>
      <c r="M230">
        <f t="shared" si="38"/>
        <v>1.4089308033178021E-2</v>
      </c>
      <c r="N230">
        <f t="shared" si="44"/>
        <v>13.617044463818685</v>
      </c>
      <c r="P230" s="1">
        <v>46051</v>
      </c>
      <c r="Q230">
        <v>45.79</v>
      </c>
      <c r="R230">
        <f t="shared" si="39"/>
        <v>1.9693654266957615E-3</v>
      </c>
      <c r="S230">
        <f t="shared" si="45"/>
        <v>18.446000383656234</v>
      </c>
      <c r="U230" s="1">
        <v>46051</v>
      </c>
      <c r="V230">
        <v>92.33</v>
      </c>
      <c r="W230">
        <f t="shared" si="40"/>
        <v>-1.3252110719247569E-2</v>
      </c>
      <c r="X230">
        <f t="shared" si="46"/>
        <v>21.834462001504892</v>
      </c>
      <c r="Z230">
        <f t="shared" si="47"/>
        <v>99.636124180302062</v>
      </c>
      <c r="AA230" s="10">
        <f t="shared" si="41"/>
        <v>1.5775754029476508E-2</v>
      </c>
    </row>
    <row r="231" spans="1:27" x14ac:dyDescent="0.3">
      <c r="A231" s="1">
        <v>46052</v>
      </c>
      <c r="B231">
        <v>852.3</v>
      </c>
      <c r="C231">
        <f t="shared" si="36"/>
        <v>-7.5687005123428047E-3</v>
      </c>
      <c r="D231">
        <f t="shared" si="42"/>
        <v>17.84921465968586</v>
      </c>
      <c r="F231" s="1">
        <v>46052</v>
      </c>
      <c r="G231">
        <v>366.3</v>
      </c>
      <c r="H231">
        <f t="shared" si="37"/>
        <v>-4.0933278755622124E-4</v>
      </c>
      <c r="I231">
        <f t="shared" si="43"/>
        <v>27.741916690940855</v>
      </c>
      <c r="K231" s="1">
        <v>46052</v>
      </c>
      <c r="L231">
        <v>459</v>
      </c>
      <c r="M231">
        <f t="shared" si="38"/>
        <v>2.8571428571428571E-2</v>
      </c>
      <c r="N231">
        <f t="shared" si="44"/>
        <v>14.006102877070646</v>
      </c>
      <c r="P231" s="1">
        <v>46052</v>
      </c>
      <c r="Q231">
        <v>47.8</v>
      </c>
      <c r="R231">
        <f t="shared" si="39"/>
        <v>4.3896047171871545E-2</v>
      </c>
      <c r="S231">
        <f t="shared" si="45"/>
        <v>19.255706886629568</v>
      </c>
      <c r="U231" s="1">
        <v>46052</v>
      </c>
      <c r="V231">
        <v>86.17</v>
      </c>
      <c r="W231">
        <f t="shared" si="40"/>
        <v>-6.6717210007581462E-2</v>
      </c>
      <c r="X231">
        <f t="shared" si="46"/>
        <v>20.377727614747933</v>
      </c>
      <c r="Z231">
        <f t="shared" si="47"/>
        <v>99.230668729074864</v>
      </c>
      <c r="AA231" s="10">
        <f t="shared" si="41"/>
        <v>-4.069361936374416E-3</v>
      </c>
    </row>
    <row r="232" spans="1:27" x14ac:dyDescent="0.3">
      <c r="A232" s="1">
        <v>46054</v>
      </c>
      <c r="B232">
        <v>806.8</v>
      </c>
      <c r="C232">
        <f t="shared" si="36"/>
        <v>-5.3384958347999535E-2</v>
      </c>
      <c r="D232">
        <f t="shared" si="42"/>
        <v>16.89633507853403</v>
      </c>
      <c r="F232" s="1">
        <v>46054</v>
      </c>
      <c r="G232">
        <v>354.35</v>
      </c>
      <c r="H232">
        <f t="shared" si="37"/>
        <v>-3.262353262353259E-2</v>
      </c>
      <c r="I232">
        <f t="shared" si="43"/>
        <v>26.836877366734623</v>
      </c>
      <c r="K232" s="1">
        <v>46054</v>
      </c>
      <c r="L232">
        <v>459.8</v>
      </c>
      <c r="M232">
        <f t="shared" si="38"/>
        <v>1.7429193899782382E-3</v>
      </c>
      <c r="N232">
        <f t="shared" si="44"/>
        <v>14.030514385353122</v>
      </c>
      <c r="P232" s="1">
        <v>46054</v>
      </c>
      <c r="Q232">
        <v>47.44</v>
      </c>
      <c r="R232">
        <f t="shared" si="39"/>
        <v>-7.5313807531380639E-3</v>
      </c>
      <c r="S232">
        <f t="shared" si="45"/>
        <v>19.110684826395538</v>
      </c>
      <c r="U232" s="1">
        <v>46054</v>
      </c>
      <c r="V232">
        <v>86.3</v>
      </c>
      <c r="W232">
        <f t="shared" si="40"/>
        <v>1.5086457003597011E-3</v>
      </c>
      <c r="X232">
        <f t="shared" si="46"/>
        <v>20.408470385897022</v>
      </c>
      <c r="Z232">
        <f t="shared" si="47"/>
        <v>97.282882042914338</v>
      </c>
      <c r="AA232" s="10">
        <f t="shared" si="41"/>
        <v>-1.962887795786683E-2</v>
      </c>
    </row>
    <row r="233" spans="1:27" x14ac:dyDescent="0.3">
      <c r="A233" s="1">
        <v>46055</v>
      </c>
      <c r="B233">
        <v>843.95</v>
      </c>
      <c r="C233">
        <f t="shared" si="36"/>
        <v>4.604610808130899E-2</v>
      </c>
      <c r="D233">
        <f t="shared" si="42"/>
        <v>17.67434554973822</v>
      </c>
      <c r="F233" s="1">
        <v>46055</v>
      </c>
      <c r="G233">
        <v>358.8</v>
      </c>
      <c r="H233">
        <f t="shared" si="37"/>
        <v>1.2558205164385461E-2</v>
      </c>
      <c r="I233">
        <f t="shared" si="43"/>
        <v>27.17390037867753</v>
      </c>
      <c r="K233" s="1">
        <v>46055</v>
      </c>
      <c r="L233">
        <v>440.8</v>
      </c>
      <c r="M233">
        <f t="shared" si="38"/>
        <v>-4.1322314049586778E-2</v>
      </c>
      <c r="N233">
        <f t="shared" si="44"/>
        <v>13.450741063644315</v>
      </c>
      <c r="P233" s="1">
        <v>46055</v>
      </c>
      <c r="Q233">
        <v>47.67</v>
      </c>
      <c r="R233">
        <f t="shared" si="39"/>
        <v>4.8482293423272342E-3</v>
      </c>
      <c r="S233">
        <f t="shared" si="45"/>
        <v>19.203337809322839</v>
      </c>
      <c r="U233" s="1">
        <v>46055</v>
      </c>
      <c r="V233">
        <v>85.18</v>
      </c>
      <c r="W233">
        <f t="shared" si="40"/>
        <v>-1.2977983777520167E-2</v>
      </c>
      <c r="X233">
        <f t="shared" si="46"/>
        <v>20.143609588304852</v>
      </c>
      <c r="Z233">
        <f t="shared" si="47"/>
        <v>97.645934389687753</v>
      </c>
      <c r="AA233" s="10">
        <f t="shared" si="41"/>
        <v>3.7319242517226403E-3</v>
      </c>
    </row>
    <row r="234" spans="1:27" x14ac:dyDescent="0.3">
      <c r="A234" s="1">
        <v>46056</v>
      </c>
      <c r="B234">
        <v>932.1</v>
      </c>
      <c r="C234">
        <f t="shared" si="36"/>
        <v>0.10444931571775576</v>
      </c>
      <c r="D234">
        <f t="shared" si="42"/>
        <v>19.520418848167537</v>
      </c>
      <c r="F234" s="1">
        <v>46056</v>
      </c>
      <c r="G234">
        <v>365.1</v>
      </c>
      <c r="H234">
        <f t="shared" si="37"/>
        <v>1.7558528428093675E-2</v>
      </c>
      <c r="I234">
        <f t="shared" si="43"/>
        <v>27.651034080978725</v>
      </c>
      <c r="K234" s="1">
        <v>46056</v>
      </c>
      <c r="L234">
        <v>451.5</v>
      </c>
      <c r="M234">
        <f t="shared" si="38"/>
        <v>2.4274047186932823E-2</v>
      </c>
      <c r="N234">
        <f t="shared" si="44"/>
        <v>13.777244986922431</v>
      </c>
      <c r="P234" s="1">
        <v>46056</v>
      </c>
      <c r="Q234">
        <v>46.17</v>
      </c>
      <c r="R234">
        <f t="shared" si="39"/>
        <v>-3.1466331025802388E-2</v>
      </c>
      <c r="S234">
        <f t="shared" si="45"/>
        <v>18.599079225014378</v>
      </c>
      <c r="U234" s="1">
        <v>46056</v>
      </c>
      <c r="V234">
        <v>86.91</v>
      </c>
      <c r="W234">
        <f t="shared" si="40"/>
        <v>2.0309931908898682E-2</v>
      </c>
      <c r="X234">
        <f t="shared" si="46"/>
        <v>20.55272492744276</v>
      </c>
      <c r="Z234">
        <f t="shared" si="47"/>
        <v>100.10050206852583</v>
      </c>
      <c r="AA234" s="10">
        <f t="shared" si="41"/>
        <v>2.5137428344351953E-2</v>
      </c>
    </row>
    <row r="235" spans="1:27" x14ac:dyDescent="0.3">
      <c r="A235" s="1">
        <v>46057</v>
      </c>
      <c r="B235">
        <v>954.45</v>
      </c>
      <c r="C235">
        <f t="shared" si="36"/>
        <v>2.3978113936272957E-2</v>
      </c>
      <c r="D235">
        <f t="shared" si="42"/>
        <v>19.988481675392666</v>
      </c>
      <c r="F235" s="1">
        <v>46057</v>
      </c>
      <c r="G235">
        <v>371.55</v>
      </c>
      <c r="H235">
        <f t="shared" si="37"/>
        <v>1.7666392769104321E-2</v>
      </c>
      <c r="I235">
        <f t="shared" si="43"/>
        <v>28.139528109525184</v>
      </c>
      <c r="K235" s="1">
        <v>46057</v>
      </c>
      <c r="L235">
        <v>459.15</v>
      </c>
      <c r="M235">
        <f t="shared" si="38"/>
        <v>1.6943521594684336E-2</v>
      </c>
      <c r="N235">
        <f t="shared" si="44"/>
        <v>14.010680034873607</v>
      </c>
      <c r="P235" s="1">
        <v>46057</v>
      </c>
      <c r="Q235">
        <v>46.99</v>
      </c>
      <c r="R235">
        <f t="shared" si="39"/>
        <v>1.7760450508988525E-2</v>
      </c>
      <c r="S235">
        <f t="shared" si="45"/>
        <v>18.929407251103004</v>
      </c>
      <c r="U235" s="1">
        <v>46057</v>
      </c>
      <c r="V235">
        <v>87.58</v>
      </c>
      <c r="W235">
        <f t="shared" si="40"/>
        <v>7.7091243815441465E-3</v>
      </c>
      <c r="X235">
        <f t="shared" si="46"/>
        <v>20.71116844028808</v>
      </c>
      <c r="Z235">
        <f t="shared" si="47"/>
        <v>101.77926551118254</v>
      </c>
      <c r="AA235" s="10">
        <f t="shared" si="41"/>
        <v>1.6770779446315665E-2</v>
      </c>
    </row>
    <row r="236" spans="1:27" x14ac:dyDescent="0.3">
      <c r="A236" s="1">
        <v>46058</v>
      </c>
      <c r="B236">
        <v>967.15</v>
      </c>
      <c r="C236">
        <f t="shared" si="36"/>
        <v>1.3306092514013233E-2</v>
      </c>
      <c r="D236">
        <f t="shared" si="42"/>
        <v>20.254450261780097</v>
      </c>
      <c r="F236" s="1">
        <v>46058</v>
      </c>
      <c r="G236">
        <v>364.5</v>
      </c>
      <c r="H236">
        <f t="shared" si="37"/>
        <v>-1.8974566007266887E-2</v>
      </c>
      <c r="I236">
        <f t="shared" si="43"/>
        <v>27.605592775997657</v>
      </c>
      <c r="K236" s="1">
        <v>46058</v>
      </c>
      <c r="L236">
        <v>468.85</v>
      </c>
      <c r="M236">
        <f t="shared" si="38"/>
        <v>2.1125993683981371E-2</v>
      </c>
      <c r="N236">
        <f t="shared" si="44"/>
        <v>14.306669572798631</v>
      </c>
      <c r="P236" s="1">
        <v>46058</v>
      </c>
      <c r="Q236">
        <v>49.16</v>
      </c>
      <c r="R236">
        <f t="shared" si="39"/>
        <v>4.6180038306022443E-2</v>
      </c>
      <c r="S236">
        <f t="shared" si="45"/>
        <v>19.803568003069241</v>
      </c>
      <c r="U236" s="1">
        <v>46058</v>
      </c>
      <c r="V236">
        <v>86.39</v>
      </c>
      <c r="W236">
        <f t="shared" si="40"/>
        <v>-1.3587577072390932E-2</v>
      </c>
      <c r="X236">
        <f t="shared" si="46"/>
        <v>20.429753842846395</v>
      </c>
      <c r="Z236">
        <f t="shared" si="47"/>
        <v>102.40003445649202</v>
      </c>
      <c r="AA236" s="10">
        <f t="shared" si="41"/>
        <v>6.0991690418641387E-3</v>
      </c>
    </row>
    <row r="237" spans="1:27" x14ac:dyDescent="0.3">
      <c r="A237" s="1">
        <v>46059</v>
      </c>
      <c r="B237">
        <v>971.85</v>
      </c>
      <c r="C237">
        <f t="shared" si="36"/>
        <v>4.8596391459443163E-3</v>
      </c>
      <c r="D237">
        <f t="shared" si="42"/>
        <v>20.352879581151825</v>
      </c>
      <c r="F237" s="1">
        <v>46059</v>
      </c>
      <c r="G237">
        <v>365.95</v>
      </c>
      <c r="H237">
        <f t="shared" si="37"/>
        <v>3.9780521262002431E-3</v>
      </c>
      <c r="I237">
        <f t="shared" si="43"/>
        <v>27.715409263035234</v>
      </c>
      <c r="K237" s="1">
        <v>46059</v>
      </c>
      <c r="L237">
        <v>473.95</v>
      </c>
      <c r="M237">
        <f t="shared" si="38"/>
        <v>1.0877679428388538E-2</v>
      </c>
      <c r="N237">
        <f t="shared" si="44"/>
        <v>14.462292938099415</v>
      </c>
      <c r="P237" s="1">
        <v>46059</v>
      </c>
      <c r="Q237">
        <v>49.77</v>
      </c>
      <c r="R237">
        <f t="shared" si="39"/>
        <v>1.2408462164361403E-2</v>
      </c>
      <c r="S237">
        <f t="shared" si="45"/>
        <v>20.049299827354684</v>
      </c>
      <c r="U237" s="1">
        <v>46059</v>
      </c>
      <c r="V237">
        <v>87.1</v>
      </c>
      <c r="W237">
        <f t="shared" si="40"/>
        <v>8.2185438129412404E-3</v>
      </c>
      <c r="X237">
        <f t="shared" si="46"/>
        <v>20.597656669891432</v>
      </c>
      <c r="Z237">
        <f t="shared" si="47"/>
        <v>103.1775382795326</v>
      </c>
      <c r="AA237" s="10">
        <f t="shared" si="41"/>
        <v>7.592808216982716E-3</v>
      </c>
    </row>
    <row r="238" spans="1:27" x14ac:dyDescent="0.3">
      <c r="A238" s="1">
        <v>46062</v>
      </c>
      <c r="B238">
        <v>982.65</v>
      </c>
      <c r="C238">
        <f t="shared" si="36"/>
        <v>1.1112826053403257E-2</v>
      </c>
      <c r="D238">
        <f t="shared" si="42"/>
        <v>20.579057591623027</v>
      </c>
      <c r="F238" s="1">
        <v>46062</v>
      </c>
      <c r="G238">
        <v>368.7</v>
      </c>
      <c r="H238">
        <f t="shared" si="37"/>
        <v>7.5146877988796282E-3</v>
      </c>
      <c r="I238">
        <f t="shared" si="43"/>
        <v>27.92368191086512</v>
      </c>
      <c r="K238" s="1">
        <v>46062</v>
      </c>
      <c r="L238">
        <v>473.15</v>
      </c>
      <c r="M238">
        <f t="shared" si="38"/>
        <v>-1.6879417660090967E-3</v>
      </c>
      <c r="N238">
        <f t="shared" si="44"/>
        <v>14.437881429816938</v>
      </c>
      <c r="P238" s="1">
        <v>46062</v>
      </c>
      <c r="Q238">
        <v>47.85</v>
      </c>
      <c r="R238">
        <f t="shared" si="39"/>
        <v>-3.857745629897532E-2</v>
      </c>
      <c r="S238">
        <f t="shared" si="45"/>
        <v>19.275848839439856</v>
      </c>
      <c r="U238" s="1">
        <v>46062</v>
      </c>
      <c r="V238">
        <v>88.01</v>
      </c>
      <c r="W238">
        <f t="shared" si="40"/>
        <v>1.0447761194029976E-2</v>
      </c>
      <c r="X238">
        <f t="shared" si="46"/>
        <v>20.812856067935076</v>
      </c>
      <c r="Z238">
        <f t="shared" si="47"/>
        <v>103.02932583968003</v>
      </c>
      <c r="AA238" s="10">
        <f t="shared" si="41"/>
        <v>-1.4364797059901457E-3</v>
      </c>
    </row>
    <row r="239" spans="1:27" x14ac:dyDescent="0.3">
      <c r="A239" s="1">
        <v>46063</v>
      </c>
      <c r="B239">
        <v>978.3</v>
      </c>
      <c r="C239">
        <f t="shared" si="36"/>
        <v>-4.4268050679285836E-3</v>
      </c>
      <c r="D239">
        <f t="shared" si="42"/>
        <v>20.487958115183236</v>
      </c>
      <c r="F239" s="1">
        <v>46063</v>
      </c>
      <c r="G239">
        <v>369.95</v>
      </c>
      <c r="H239">
        <f t="shared" si="37"/>
        <v>3.3902902088418772E-3</v>
      </c>
      <c r="I239">
        <f t="shared" si="43"/>
        <v>28.01835129624234</v>
      </c>
      <c r="K239" s="1">
        <v>46063</v>
      </c>
      <c r="L239">
        <v>480.1</v>
      </c>
      <c r="M239">
        <f t="shared" si="38"/>
        <v>1.4688787910810621E-2</v>
      </c>
      <c r="N239">
        <f t="shared" si="44"/>
        <v>14.649956408020952</v>
      </c>
      <c r="P239" s="1">
        <v>46063</v>
      </c>
      <c r="Q239">
        <v>48.04</v>
      </c>
      <c r="R239">
        <f t="shared" si="39"/>
        <v>3.9707419017763366E-3</v>
      </c>
      <c r="S239">
        <f t="shared" si="45"/>
        <v>19.352388260118925</v>
      </c>
      <c r="U239" s="1">
        <v>46063</v>
      </c>
      <c r="V239">
        <v>89.47</v>
      </c>
      <c r="W239">
        <f t="shared" si="40"/>
        <v>1.6589023974548273E-2</v>
      </c>
      <c r="X239">
        <f t="shared" si="46"/>
        <v>21.158121036224873</v>
      </c>
      <c r="Z239">
        <f t="shared" si="47"/>
        <v>103.66677511579033</v>
      </c>
      <c r="AA239" s="10">
        <f t="shared" si="41"/>
        <v>6.1870663611078847E-3</v>
      </c>
    </row>
    <row r="240" spans="1:27" x14ac:dyDescent="0.3">
      <c r="A240" s="1">
        <v>46064</v>
      </c>
      <c r="B240">
        <v>994.75</v>
      </c>
      <c r="C240">
        <f t="shared" si="36"/>
        <v>1.6814882960237195E-2</v>
      </c>
      <c r="D240">
        <f t="shared" si="42"/>
        <v>20.832460732984284</v>
      </c>
      <c r="F240" s="1">
        <v>46064</v>
      </c>
      <c r="G240">
        <v>375.65</v>
      </c>
      <c r="H240">
        <f t="shared" si="37"/>
        <v>1.5407487498310552E-2</v>
      </c>
      <c r="I240">
        <f t="shared" si="43"/>
        <v>28.450043693562467</v>
      </c>
      <c r="K240" s="1">
        <v>46064</v>
      </c>
      <c r="L240">
        <v>483.7</v>
      </c>
      <c r="M240">
        <f t="shared" si="38"/>
        <v>7.4984378254529596E-3</v>
      </c>
      <c r="N240">
        <f t="shared" si="44"/>
        <v>14.759808195292093</v>
      </c>
      <c r="P240" s="1">
        <v>46064</v>
      </c>
      <c r="Q240">
        <v>48.19</v>
      </c>
      <c r="R240">
        <f t="shared" si="39"/>
        <v>3.1223980016652493E-3</v>
      </c>
      <c r="S240">
        <f t="shared" si="45"/>
        <v>19.412814118549772</v>
      </c>
      <c r="U240" s="1">
        <v>46064</v>
      </c>
      <c r="V240">
        <v>88.99</v>
      </c>
      <c r="W240">
        <f t="shared" si="40"/>
        <v>-5.364926791103208E-3</v>
      </c>
      <c r="X240">
        <f t="shared" si="46"/>
        <v>21.044609265828225</v>
      </c>
      <c r="Z240">
        <f t="shared" si="47"/>
        <v>104.49973600621685</v>
      </c>
      <c r="AA240" s="10">
        <f t="shared" si="41"/>
        <v>8.0349841064906169E-3</v>
      </c>
    </row>
    <row r="241" spans="1:27" x14ac:dyDescent="0.3">
      <c r="A241" s="1">
        <v>46065</v>
      </c>
      <c r="B241">
        <v>997.65</v>
      </c>
      <c r="C241">
        <f t="shared" si="36"/>
        <v>2.9153053531037719E-3</v>
      </c>
      <c r="D241">
        <f t="shared" si="42"/>
        <v>20.893193717277477</v>
      </c>
      <c r="F241" s="1">
        <v>46065</v>
      </c>
      <c r="G241">
        <v>380.55</v>
      </c>
      <c r="H241">
        <f t="shared" si="37"/>
        <v>1.304405696792236E-2</v>
      </c>
      <c r="I241">
        <f t="shared" si="43"/>
        <v>28.821147684241179</v>
      </c>
      <c r="K241" s="1">
        <v>46065</v>
      </c>
      <c r="L241">
        <v>482.35</v>
      </c>
      <c r="M241">
        <f t="shared" si="38"/>
        <v>-2.7909861484390446E-3</v>
      </c>
      <c r="N241">
        <f t="shared" si="44"/>
        <v>14.718613775065416</v>
      </c>
      <c r="P241" s="1">
        <v>46065</v>
      </c>
      <c r="Q241">
        <v>47.69</v>
      </c>
      <c r="R241">
        <f t="shared" si="39"/>
        <v>-1.0375596596804317E-2</v>
      </c>
      <c r="S241">
        <f t="shared" si="45"/>
        <v>19.21139459044695</v>
      </c>
      <c r="U241" s="1">
        <v>46065</v>
      </c>
      <c r="V241">
        <v>89.08</v>
      </c>
      <c r="W241">
        <f t="shared" si="40"/>
        <v>1.0113495898415937E-3</v>
      </c>
      <c r="X241">
        <f t="shared" si="46"/>
        <v>21.065892722777598</v>
      </c>
      <c r="Z241">
        <f t="shared" si="47"/>
        <v>104.71024248980862</v>
      </c>
      <c r="AA241" s="10">
        <f t="shared" si="41"/>
        <v>2.0144211998702755E-3</v>
      </c>
    </row>
    <row r="242" spans="1:27" x14ac:dyDescent="0.3">
      <c r="A242" s="1">
        <v>46066</v>
      </c>
      <c r="B242">
        <v>950.5</v>
      </c>
      <c r="C242">
        <f t="shared" si="36"/>
        <v>-4.7261063499223155E-2</v>
      </c>
      <c r="D242">
        <f t="shared" si="42"/>
        <v>19.905759162303653</v>
      </c>
      <c r="F242" s="1">
        <v>46066</v>
      </c>
      <c r="G242">
        <v>374.1</v>
      </c>
      <c r="H242">
        <f t="shared" si="37"/>
        <v>-1.694915254237285E-2</v>
      </c>
      <c r="I242">
        <f t="shared" si="43"/>
        <v>28.33265365569472</v>
      </c>
      <c r="K242" s="1">
        <v>46066</v>
      </c>
      <c r="L242">
        <v>479.5</v>
      </c>
      <c r="M242">
        <f t="shared" si="38"/>
        <v>-5.9085726132476887E-3</v>
      </c>
      <c r="N242">
        <f t="shared" si="44"/>
        <v>14.631647776809093</v>
      </c>
      <c r="P242" s="1">
        <v>46066</v>
      </c>
      <c r="Q242">
        <v>47.38</v>
      </c>
      <c r="R242">
        <f t="shared" si="39"/>
        <v>-6.5003145313481904E-3</v>
      </c>
      <c r="S242">
        <f t="shared" si="45"/>
        <v>19.086514483023205</v>
      </c>
      <c r="U242" s="1">
        <v>46066</v>
      </c>
      <c r="V242">
        <v>89.01</v>
      </c>
      <c r="W242">
        <f t="shared" si="40"/>
        <v>-7.858105074089939E-4</v>
      </c>
      <c r="X242">
        <f t="shared" si="46"/>
        <v>21.049338922928087</v>
      </c>
      <c r="Z242">
        <f t="shared" si="47"/>
        <v>103.00591400075875</v>
      </c>
      <c r="AA242" s="10">
        <f t="shared" si="41"/>
        <v>-1.6276616771427665E-2</v>
      </c>
    </row>
    <row r="243" spans="1:27" x14ac:dyDescent="0.3">
      <c r="A243" s="1">
        <v>46069</v>
      </c>
      <c r="B243">
        <v>991.25</v>
      </c>
      <c r="C243">
        <f t="shared" si="36"/>
        <v>4.2872172540768014E-2</v>
      </c>
      <c r="D243">
        <f t="shared" si="42"/>
        <v>20.759162303664908</v>
      </c>
      <c r="F243" s="1">
        <v>46069</v>
      </c>
      <c r="G243">
        <v>382.1</v>
      </c>
      <c r="H243">
        <f t="shared" si="37"/>
        <v>2.1384656508954825E-2</v>
      </c>
      <c r="I243">
        <f t="shared" si="43"/>
        <v>28.938537722108936</v>
      </c>
      <c r="K243" s="1">
        <v>46069</v>
      </c>
      <c r="L243">
        <v>474.7</v>
      </c>
      <c r="M243">
        <f t="shared" si="38"/>
        <v>-1.0010427528675727E-2</v>
      </c>
      <c r="N243">
        <f t="shared" si="44"/>
        <v>14.485178727114235</v>
      </c>
      <c r="P243" s="1">
        <v>46069</v>
      </c>
      <c r="Q243">
        <v>46.81</v>
      </c>
      <c r="R243">
        <f t="shared" si="39"/>
        <v>-1.2030392570704944E-2</v>
      </c>
      <c r="S243">
        <f t="shared" si="45"/>
        <v>18.856896220985991</v>
      </c>
      <c r="U243" s="1">
        <v>46069</v>
      </c>
      <c r="V243">
        <v>89.53</v>
      </c>
      <c r="W243">
        <f t="shared" si="40"/>
        <v>5.8420402201999327E-3</v>
      </c>
      <c r="X243">
        <f t="shared" si="46"/>
        <v>21.172310007524452</v>
      </c>
      <c r="Z243">
        <f t="shared" si="47"/>
        <v>104.21208498139852</v>
      </c>
      <c r="AA243" s="10">
        <f t="shared" si="41"/>
        <v>1.1709725527321524E-2</v>
      </c>
    </row>
    <row r="244" spans="1:27" x14ac:dyDescent="0.3">
      <c r="A244" s="1">
        <v>46070</v>
      </c>
      <c r="B244" s="2">
        <v>1016.8</v>
      </c>
      <c r="C244">
        <f t="shared" si="36"/>
        <v>2.577553593947032E-2</v>
      </c>
      <c r="D244">
        <f t="shared" si="42"/>
        <v>21.294240837696318</v>
      </c>
      <c r="F244" s="1">
        <v>46070</v>
      </c>
      <c r="G244">
        <v>378.4</v>
      </c>
      <c r="H244">
        <f t="shared" si="37"/>
        <v>-9.6833289714735541E-3</v>
      </c>
      <c r="I244">
        <f t="shared" si="43"/>
        <v>28.658316341392361</v>
      </c>
      <c r="K244" s="1">
        <v>46070</v>
      </c>
      <c r="L244">
        <v>489.95</v>
      </c>
      <c r="M244">
        <f t="shared" si="38"/>
        <v>3.2125552980829995E-2</v>
      </c>
      <c r="N244">
        <f t="shared" si="44"/>
        <v>14.950523103748935</v>
      </c>
      <c r="P244" s="1">
        <v>46070</v>
      </c>
      <c r="Q244">
        <v>45.67</v>
      </c>
      <c r="R244">
        <f t="shared" si="39"/>
        <v>-2.4353770561845772E-2</v>
      </c>
      <c r="S244">
        <f t="shared" si="45"/>
        <v>18.397659696911564</v>
      </c>
      <c r="U244" s="1">
        <v>46070</v>
      </c>
      <c r="V244">
        <v>89.91</v>
      </c>
      <c r="W244">
        <f t="shared" si="40"/>
        <v>4.2443873561934043E-3</v>
      </c>
      <c r="X244">
        <f t="shared" si="46"/>
        <v>21.262173492421798</v>
      </c>
      <c r="Z244">
        <f t="shared" si="47"/>
        <v>104.56291347217098</v>
      </c>
      <c r="AA244" s="10">
        <f t="shared" si="41"/>
        <v>3.3664856704007651E-3</v>
      </c>
    </row>
    <row r="245" spans="1:27" x14ac:dyDescent="0.3">
      <c r="A245" s="1">
        <v>46071</v>
      </c>
      <c r="B245" s="2">
        <v>1000.1</v>
      </c>
      <c r="C245">
        <f t="shared" si="36"/>
        <v>-1.6424075531077824E-2</v>
      </c>
      <c r="D245">
        <f t="shared" si="42"/>
        <v>20.944502617801032</v>
      </c>
      <c r="F245" s="1">
        <v>46071</v>
      </c>
      <c r="G245">
        <v>379.6</v>
      </c>
      <c r="H245">
        <f t="shared" si="37"/>
        <v>3.1712473572939894E-3</v>
      </c>
      <c r="I245">
        <f t="shared" si="43"/>
        <v>28.749198951354497</v>
      </c>
      <c r="K245" s="1">
        <v>46071</v>
      </c>
      <c r="L245">
        <v>487.35</v>
      </c>
      <c r="M245">
        <f t="shared" si="38"/>
        <v>-5.3066639453004712E-3</v>
      </c>
      <c r="N245">
        <f t="shared" si="44"/>
        <v>14.871185701830889</v>
      </c>
      <c r="P245" s="1">
        <v>46071</v>
      </c>
      <c r="Q245">
        <v>46.21</v>
      </c>
      <c r="R245">
        <f t="shared" si="39"/>
        <v>1.1823954455879113E-2</v>
      </c>
      <c r="S245">
        <f t="shared" si="45"/>
        <v>18.615192787262611</v>
      </c>
      <c r="U245" s="1">
        <v>46071</v>
      </c>
      <c r="V245">
        <v>89.54</v>
      </c>
      <c r="W245">
        <f t="shared" si="40"/>
        <v>-4.1152263374484525E-3</v>
      </c>
      <c r="X245">
        <f t="shared" si="46"/>
        <v>21.174674836074388</v>
      </c>
      <c r="Z245">
        <f t="shared" si="47"/>
        <v>104.35475489432342</v>
      </c>
      <c r="AA245" s="10">
        <f t="shared" si="41"/>
        <v>-1.9907495969204714E-3</v>
      </c>
    </row>
    <row r="246" spans="1:27" x14ac:dyDescent="0.3">
      <c r="A246" s="1">
        <v>46072</v>
      </c>
      <c r="B246">
        <v>976.5</v>
      </c>
      <c r="C246">
        <f t="shared" si="36"/>
        <v>-2.3597640235976425E-2</v>
      </c>
      <c r="D246">
        <f t="shared" si="42"/>
        <v>20.450261780104697</v>
      </c>
      <c r="F246" s="1">
        <v>46072</v>
      </c>
      <c r="G246">
        <v>369.3</v>
      </c>
      <c r="H246">
        <f t="shared" si="37"/>
        <v>-2.7133825079030588E-2</v>
      </c>
      <c r="I246">
        <f t="shared" si="43"/>
        <v>27.969123215846192</v>
      </c>
      <c r="K246" s="1">
        <v>46072</v>
      </c>
      <c r="L246">
        <v>486.25</v>
      </c>
      <c r="M246">
        <f t="shared" si="38"/>
        <v>-2.2571047501795888E-3</v>
      </c>
      <c r="N246">
        <f t="shared" si="44"/>
        <v>14.837619877942483</v>
      </c>
      <c r="P246" s="1">
        <v>46072</v>
      </c>
      <c r="Q246">
        <v>45.94</v>
      </c>
      <c r="R246">
        <f t="shared" si="39"/>
        <v>-5.8428911491019931E-3</v>
      </c>
      <c r="S246">
        <f t="shared" si="45"/>
        <v>18.506426242087088</v>
      </c>
      <c r="U246" s="1">
        <v>46072</v>
      </c>
      <c r="V246">
        <v>90.51</v>
      </c>
      <c r="W246">
        <f t="shared" si="40"/>
        <v>1.0833147196783547E-2</v>
      </c>
      <c r="X246">
        <f t="shared" si="46"/>
        <v>21.404063205417611</v>
      </c>
      <c r="Z246">
        <f t="shared" si="47"/>
        <v>103.16749432139808</v>
      </c>
      <c r="AA246" s="10">
        <f t="shared" si="41"/>
        <v>-1.1377158368371831E-2</v>
      </c>
    </row>
    <row r="247" spans="1:27" x14ac:dyDescent="0.3">
      <c r="A247" s="1">
        <v>46073</v>
      </c>
      <c r="B247">
        <v>968.25</v>
      </c>
      <c r="C247">
        <f t="shared" si="36"/>
        <v>-8.4485407066052232E-3</v>
      </c>
      <c r="D247">
        <f t="shared" si="42"/>
        <v>20.27748691099475</v>
      </c>
      <c r="F247" s="1">
        <v>46073</v>
      </c>
      <c r="G247">
        <v>378</v>
      </c>
      <c r="H247">
        <f t="shared" si="37"/>
        <v>2.3558082859463821E-2</v>
      </c>
      <c r="I247">
        <f t="shared" si="43"/>
        <v>28.628022138071653</v>
      </c>
      <c r="K247" s="1">
        <v>46073</v>
      </c>
      <c r="L247">
        <v>480.1</v>
      </c>
      <c r="M247">
        <f t="shared" si="38"/>
        <v>-1.2647814910025661E-2</v>
      </c>
      <c r="N247">
        <f t="shared" si="44"/>
        <v>14.64995640802095</v>
      </c>
      <c r="P247" s="1">
        <v>46073</v>
      </c>
      <c r="Q247">
        <v>46.09</v>
      </c>
      <c r="R247">
        <f t="shared" si="39"/>
        <v>3.2651284283849737E-3</v>
      </c>
      <c r="S247">
        <f t="shared" si="45"/>
        <v>18.566852100517934</v>
      </c>
      <c r="U247" s="1">
        <v>46073</v>
      </c>
      <c r="V247">
        <v>90.29</v>
      </c>
      <c r="W247">
        <f t="shared" si="40"/>
        <v>-2.430670644127708E-3</v>
      </c>
      <c r="X247">
        <f t="shared" si="46"/>
        <v>21.352036977319148</v>
      </c>
      <c r="Z247">
        <f t="shared" si="47"/>
        <v>103.47435453492443</v>
      </c>
      <c r="AA247" s="10">
        <f t="shared" si="41"/>
        <v>2.9743885469426523E-3</v>
      </c>
    </row>
    <row r="248" spans="1:27" x14ac:dyDescent="0.3">
      <c r="A248" s="1">
        <v>46076</v>
      </c>
      <c r="B248">
        <v>970.35</v>
      </c>
      <c r="C248">
        <f t="shared" si="36"/>
        <v>2.1688613477924327E-3</v>
      </c>
      <c r="D248">
        <f t="shared" si="42"/>
        <v>20.32146596858637</v>
      </c>
      <c r="F248" s="1">
        <v>46076</v>
      </c>
      <c r="G248">
        <v>379.25</v>
      </c>
      <c r="H248">
        <f t="shared" si="37"/>
        <v>3.3068783068783067E-3</v>
      </c>
      <c r="I248">
        <f t="shared" si="43"/>
        <v>28.722691523448876</v>
      </c>
      <c r="K248" s="1">
        <v>46076</v>
      </c>
      <c r="L248">
        <v>493.95</v>
      </c>
      <c r="M248">
        <f t="shared" si="38"/>
        <v>2.8848156634034505E-2</v>
      </c>
      <c r="N248">
        <f t="shared" si="44"/>
        <v>15.072580645161317</v>
      </c>
      <c r="P248" s="1">
        <v>46076</v>
      </c>
      <c r="Q248">
        <v>45.25</v>
      </c>
      <c r="R248">
        <f t="shared" si="39"/>
        <v>-1.822521154263405E-2</v>
      </c>
      <c r="S248">
        <f t="shared" si="45"/>
        <v>18.228467293305197</v>
      </c>
      <c r="U248" s="1">
        <v>46076</v>
      </c>
      <c r="V248">
        <v>90.34</v>
      </c>
      <c r="W248">
        <f t="shared" si="40"/>
        <v>5.5377118174767029E-4</v>
      </c>
      <c r="X248">
        <f t="shared" si="46"/>
        <v>21.363861120068798</v>
      </c>
      <c r="Z248">
        <f t="shared" si="47"/>
        <v>103.70906655057055</v>
      </c>
      <c r="AA248" s="10">
        <f t="shared" si="41"/>
        <v>2.2683109906900256E-3</v>
      </c>
    </row>
    <row r="249" spans="1:27" x14ac:dyDescent="0.3">
      <c r="A249" s="1">
        <v>46077</v>
      </c>
      <c r="B249">
        <v>981.35</v>
      </c>
      <c r="C249">
        <f t="shared" si="36"/>
        <v>1.1336115834492708E-2</v>
      </c>
      <c r="D249">
        <f t="shared" si="42"/>
        <v>20.551832460732967</v>
      </c>
      <c r="F249" s="1">
        <v>46077</v>
      </c>
      <c r="G249">
        <v>379.75</v>
      </c>
      <c r="H249">
        <f t="shared" si="37"/>
        <v>1.3183915622940012E-3</v>
      </c>
      <c r="I249">
        <f t="shared" si="43"/>
        <v>28.760559277599768</v>
      </c>
      <c r="K249" s="1">
        <v>46077</v>
      </c>
      <c r="L249">
        <v>486.4</v>
      </c>
      <c r="M249">
        <f t="shared" si="38"/>
        <v>-1.5284947869217556E-2</v>
      </c>
      <c r="N249">
        <f t="shared" si="44"/>
        <v>14.84219703574545</v>
      </c>
      <c r="P249" s="1">
        <v>46077</v>
      </c>
      <c r="Q249">
        <v>44.46</v>
      </c>
      <c r="R249">
        <f t="shared" si="39"/>
        <v>-1.7458563535911582E-2</v>
      </c>
      <c r="S249">
        <f t="shared" si="45"/>
        <v>17.910224438902741</v>
      </c>
      <c r="U249" s="1">
        <v>46077</v>
      </c>
      <c r="V249">
        <v>89.9</v>
      </c>
      <c r="W249">
        <f t="shared" si="40"/>
        <v>-4.8704892627850086E-3</v>
      </c>
      <c r="X249">
        <f t="shared" si="46"/>
        <v>21.259808663871873</v>
      </c>
      <c r="Z249">
        <f t="shared" si="47"/>
        <v>103.32462187685279</v>
      </c>
      <c r="AA249" s="10">
        <f t="shared" si="41"/>
        <v>-3.7069533696969525E-3</v>
      </c>
    </row>
    <row r="250" spans="1:27" x14ac:dyDescent="0.3">
      <c r="A250" s="1">
        <v>46078</v>
      </c>
      <c r="B250">
        <v>964.15</v>
      </c>
      <c r="C250">
        <f t="shared" si="36"/>
        <v>-1.7526876241911699E-2</v>
      </c>
      <c r="D250">
        <f t="shared" si="42"/>
        <v>20.191623036649197</v>
      </c>
      <c r="F250" s="1">
        <v>46078</v>
      </c>
      <c r="G250">
        <v>381.25</v>
      </c>
      <c r="H250">
        <f t="shared" si="37"/>
        <v>3.9499670836076368E-3</v>
      </c>
      <c r="I250">
        <f t="shared" si="43"/>
        <v>28.874162540052431</v>
      </c>
      <c r="K250" s="1">
        <v>46078</v>
      </c>
      <c r="L250">
        <v>490.25</v>
      </c>
      <c r="M250">
        <f t="shared" si="38"/>
        <v>7.9152960526316252E-3</v>
      </c>
      <c r="N250">
        <f t="shared" si="44"/>
        <v>14.959677419354867</v>
      </c>
      <c r="P250" s="1">
        <v>46078</v>
      </c>
      <c r="Q250">
        <v>44.25</v>
      </c>
      <c r="R250">
        <f t="shared" si="39"/>
        <v>-4.7233468286100059E-3</v>
      </c>
      <c r="S250">
        <f t="shared" si="45"/>
        <v>17.825628237099558</v>
      </c>
      <c r="U250" s="1">
        <v>46078</v>
      </c>
      <c r="V250">
        <v>90.22</v>
      </c>
      <c r="W250">
        <f t="shared" si="40"/>
        <v>3.5595105672969205E-3</v>
      </c>
      <c r="X250">
        <f t="shared" si="46"/>
        <v>21.335483177469637</v>
      </c>
      <c r="Z250">
        <f t="shared" si="47"/>
        <v>103.1865744106257</v>
      </c>
      <c r="AA250" s="10">
        <f t="shared" si="41"/>
        <v>-1.3360558569633918E-3</v>
      </c>
    </row>
    <row r="251" spans="1:27" x14ac:dyDescent="0.3">
      <c r="A251" s="1">
        <v>46079</v>
      </c>
      <c r="B251">
        <v>965.95</v>
      </c>
      <c r="C251">
        <f t="shared" si="36"/>
        <v>1.8669294196961763E-3</v>
      </c>
      <c r="D251">
        <f t="shared" si="42"/>
        <v>20.229319371727733</v>
      </c>
      <c r="F251" s="1">
        <v>46079</v>
      </c>
      <c r="G251">
        <v>380.4</v>
      </c>
      <c r="H251">
        <f t="shared" si="37"/>
        <v>-2.2295081967213712E-3</v>
      </c>
      <c r="I251">
        <f t="shared" si="43"/>
        <v>28.809787357995919</v>
      </c>
      <c r="K251" s="1">
        <v>46079</v>
      </c>
      <c r="L251">
        <v>490.05</v>
      </c>
      <c r="M251">
        <f t="shared" si="38"/>
        <v>-4.0795512493623382E-4</v>
      </c>
      <c r="N251">
        <f t="shared" si="44"/>
        <v>14.953574542284249</v>
      </c>
      <c r="P251" s="1">
        <v>46079</v>
      </c>
      <c r="Q251">
        <v>44.13</v>
      </c>
      <c r="R251">
        <f t="shared" si="39"/>
        <v>-2.7118644067796031E-3</v>
      </c>
      <c r="S251">
        <f t="shared" si="45"/>
        <v>17.777287550354881</v>
      </c>
      <c r="U251" s="1">
        <v>46079</v>
      </c>
      <c r="V251">
        <v>90.19</v>
      </c>
      <c r="W251">
        <f t="shared" si="40"/>
        <v>-3.3252050543118084E-4</v>
      </c>
      <c r="X251">
        <f t="shared" si="46"/>
        <v>21.328388691819846</v>
      </c>
      <c r="Z251">
        <f t="shared" si="47"/>
        <v>103.09835751418262</v>
      </c>
      <c r="AA251" s="10">
        <f t="shared" si="41"/>
        <v>-8.5492610784831946E-4</v>
      </c>
    </row>
  </sheetData>
  <conditionalFormatting sqref="P4:P251">
    <cfRule type="duplicateValues" dxfId="4" priority="4"/>
  </conditionalFormatting>
  <conditionalFormatting sqref="U3:U251">
    <cfRule type="duplicateValues" dxfId="3" priority="2"/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8116-8F7E-4046-95FD-E3CEF950704C}">
  <dimension ref="A1:AV257"/>
  <sheetViews>
    <sheetView tabSelected="1" topLeftCell="AA1" zoomScale="109" workbookViewId="0">
      <selection activeCell="AP97" sqref="AP97"/>
    </sheetView>
  </sheetViews>
  <sheetFormatPr defaultRowHeight="14.4" x14ac:dyDescent="0.3"/>
  <cols>
    <col min="1" max="1" width="9.88671875" bestFit="1" customWidth="1"/>
    <col min="2" max="2" width="11.33203125" bestFit="1" customWidth="1"/>
    <col min="3" max="3" width="17.5546875" bestFit="1" customWidth="1"/>
    <col min="4" max="4" width="18" bestFit="1" customWidth="1"/>
    <col min="5" max="5" width="13" bestFit="1" customWidth="1"/>
    <col min="6" max="6" width="10.109375" customWidth="1"/>
    <col min="7" max="7" width="9.88671875" bestFit="1" customWidth="1"/>
    <col min="8" max="8" width="11.33203125" bestFit="1" customWidth="1"/>
    <col min="9" max="9" width="16.88671875" bestFit="1" customWidth="1"/>
    <col min="10" max="10" width="18" bestFit="1" customWidth="1"/>
    <col min="11" max="11" width="13" bestFit="1" customWidth="1"/>
    <col min="12" max="12" width="11.109375" customWidth="1"/>
    <col min="13" max="13" width="9.88671875" bestFit="1" customWidth="1"/>
    <col min="14" max="14" width="11.33203125" bestFit="1" customWidth="1"/>
    <col min="15" max="15" width="13" bestFit="1" customWidth="1"/>
    <col min="16" max="16" width="18" bestFit="1" customWidth="1"/>
    <col min="17" max="17" width="13" bestFit="1" customWidth="1"/>
    <col min="18" max="18" width="11.109375" customWidth="1"/>
    <col min="19" max="19" width="9.88671875" bestFit="1" customWidth="1"/>
    <col min="20" max="20" width="11.33203125" bestFit="1" customWidth="1"/>
    <col min="21" max="21" width="13" bestFit="1" customWidth="1"/>
    <col min="22" max="22" width="18" bestFit="1" customWidth="1"/>
    <col min="23" max="23" width="13" bestFit="1" customWidth="1"/>
    <col min="24" max="24" width="11.109375" customWidth="1"/>
    <col min="25" max="25" width="9.88671875" bestFit="1" customWidth="1"/>
    <col min="26" max="26" width="14.5546875" bestFit="1" customWidth="1"/>
    <col min="27" max="27" width="13" bestFit="1" customWidth="1"/>
    <col min="28" max="28" width="18" bestFit="1" customWidth="1"/>
    <col min="29" max="29" width="13" bestFit="1" customWidth="1"/>
    <col min="30" max="30" width="11.109375" customWidth="1"/>
    <col min="31" max="31" width="12.33203125" bestFit="1" customWidth="1"/>
    <col min="32" max="32" width="13" bestFit="1" customWidth="1"/>
    <col min="34" max="38" width="12.6640625" bestFit="1" customWidth="1"/>
    <col min="40" max="40" width="19.109375" customWidth="1"/>
    <col min="41" max="41" width="20.77734375" bestFit="1" customWidth="1"/>
    <col min="42" max="42" width="17.33203125" customWidth="1"/>
    <col min="43" max="43" width="14.6640625" customWidth="1"/>
    <col min="44" max="44" width="18.77734375" bestFit="1" customWidth="1"/>
    <col min="45" max="48" width="12.109375" bestFit="1" customWidth="1"/>
  </cols>
  <sheetData>
    <row r="1" spans="1:45" x14ac:dyDescent="0.3">
      <c r="AE1" s="13" t="s">
        <v>8</v>
      </c>
    </row>
    <row r="2" spans="1:45" x14ac:dyDescent="0.3">
      <c r="AJ2" s="20" t="s">
        <v>21</v>
      </c>
    </row>
    <row r="3" spans="1:45" x14ac:dyDescent="0.3">
      <c r="A3" s="14" t="s">
        <v>0</v>
      </c>
      <c r="B3" s="14" t="s">
        <v>1</v>
      </c>
      <c r="C3" s="14" t="s">
        <v>14</v>
      </c>
      <c r="D3" s="14" t="s">
        <v>22</v>
      </c>
      <c r="E3" s="14" t="s">
        <v>21</v>
      </c>
      <c r="F3" s="14"/>
      <c r="G3" s="14" t="s">
        <v>0</v>
      </c>
      <c r="H3" s="14" t="s">
        <v>1</v>
      </c>
      <c r="I3" s="14" t="s">
        <v>13</v>
      </c>
      <c r="J3" s="14" t="s">
        <v>22</v>
      </c>
      <c r="K3" s="14" t="s">
        <v>21</v>
      </c>
      <c r="L3" s="14"/>
      <c r="M3" s="14" t="s">
        <v>0</v>
      </c>
      <c r="N3" s="14" t="s">
        <v>1</v>
      </c>
      <c r="O3" s="14" t="s">
        <v>7</v>
      </c>
      <c r="P3" s="14" t="s">
        <v>22</v>
      </c>
      <c r="Q3" s="14" t="s">
        <v>21</v>
      </c>
      <c r="R3" s="14"/>
      <c r="S3" s="14" t="s">
        <v>0</v>
      </c>
      <c r="T3" s="14" t="s">
        <v>1</v>
      </c>
      <c r="U3" s="14" t="s">
        <v>3</v>
      </c>
      <c r="V3" s="14" t="s">
        <v>22</v>
      </c>
      <c r="W3" s="14" t="s">
        <v>21</v>
      </c>
      <c r="X3" s="14"/>
      <c r="Y3" s="14" t="s">
        <v>0</v>
      </c>
      <c r="Z3" s="14" t="s">
        <v>2</v>
      </c>
      <c r="AA3" s="14" t="s">
        <v>4</v>
      </c>
      <c r="AB3" s="14" t="s">
        <v>22</v>
      </c>
      <c r="AC3" s="14" t="s">
        <v>21</v>
      </c>
      <c r="AD3" s="14"/>
      <c r="AE3" s="14">
        <v>100</v>
      </c>
      <c r="AF3" s="14" t="s">
        <v>10</v>
      </c>
    </row>
    <row r="4" spans="1:45" x14ac:dyDescent="0.3">
      <c r="A4" s="1">
        <v>45715</v>
      </c>
      <c r="B4">
        <v>811.75</v>
      </c>
      <c r="D4" s="11">
        <v>0.17</v>
      </c>
      <c r="E4" s="11"/>
      <c r="G4" s="1">
        <v>45715</v>
      </c>
      <c r="H4">
        <v>343.3</v>
      </c>
      <c r="J4" s="11">
        <v>0.26</v>
      </c>
      <c r="K4" s="11"/>
      <c r="M4" s="1">
        <v>45715</v>
      </c>
      <c r="N4" s="2">
        <v>10447.65</v>
      </c>
      <c r="P4" s="11">
        <v>0.14000000000000001</v>
      </c>
      <c r="Q4" s="11"/>
      <c r="S4" s="1">
        <v>45715</v>
      </c>
      <c r="T4">
        <v>703.9</v>
      </c>
      <c r="V4" s="11">
        <v>0.21</v>
      </c>
      <c r="W4" s="11"/>
      <c r="Y4" s="1">
        <v>45715</v>
      </c>
      <c r="Z4" s="2">
        <v>1764.3</v>
      </c>
      <c r="AB4" s="11">
        <v>0.22</v>
      </c>
      <c r="AC4" s="11"/>
      <c r="AE4">
        <v>100</v>
      </c>
      <c r="AH4" s="21" t="s">
        <v>23</v>
      </c>
      <c r="AI4" s="22" t="s">
        <v>30</v>
      </c>
      <c r="AJ4" s="23" t="s">
        <v>25</v>
      </c>
      <c r="AK4" s="24" t="s">
        <v>28</v>
      </c>
      <c r="AL4" s="25" t="s">
        <v>29</v>
      </c>
      <c r="AN4" t="s">
        <v>19</v>
      </c>
    </row>
    <row r="5" spans="1:45" x14ac:dyDescent="0.3">
      <c r="A5" s="1">
        <v>45716</v>
      </c>
      <c r="B5">
        <v>774.4</v>
      </c>
      <c r="C5">
        <f>(B5-B4)/B4</f>
        <v>-4.6011703110563622E-2</v>
      </c>
      <c r="D5">
        <f>D4*AE3*(1+C5)</f>
        <v>16.217801047120417</v>
      </c>
      <c r="E5">
        <f>C5-$C$252</f>
        <v>-4.7070379127625135E-2</v>
      </c>
      <c r="G5" s="1">
        <v>45716</v>
      </c>
      <c r="H5">
        <v>339.2</v>
      </c>
      <c r="I5">
        <f>(H5-H4)/H4</f>
        <v>-1.1942907078357188E-2</v>
      </c>
      <c r="J5">
        <f>J4*AE3*(1+I5)</f>
        <v>25.689484415962713</v>
      </c>
      <c r="K5">
        <f>I5-$I$252</f>
        <v>-1.2463885072357265E-2</v>
      </c>
      <c r="M5" s="1">
        <v>45716</v>
      </c>
      <c r="N5" s="2">
        <v>10128.450000000001</v>
      </c>
      <c r="O5">
        <f>(N5-N4)/N4</f>
        <v>-3.0552325164031998E-2</v>
      </c>
      <c r="P5">
        <f>P4*AE3*(1+O5)</f>
        <v>13.572267447703554</v>
      </c>
      <c r="Q5">
        <f>O5-$O$252</f>
        <v>-3.1517591410202016E-2</v>
      </c>
      <c r="S5" s="1">
        <v>45716</v>
      </c>
      <c r="T5">
        <v>688.8</v>
      </c>
      <c r="U5">
        <f>(T5-T4)/T4</f>
        <v>-2.1451910782781677E-2</v>
      </c>
      <c r="V5">
        <f>V4*AE3*(1+U5)</f>
        <v>20.549509873561586</v>
      </c>
      <c r="W5">
        <f>U5-$U$252</f>
        <v>-2.3701265158225404E-2</v>
      </c>
      <c r="Y5" s="1">
        <v>45716</v>
      </c>
      <c r="Z5" s="2">
        <v>1687.7</v>
      </c>
      <c r="AA5" s="4">
        <f>(Z5-Z4)/Z4</f>
        <v>-4.3416652496740864E-2</v>
      </c>
      <c r="AB5">
        <f>AB4*AE3*(1+AA5)</f>
        <v>21.044833645071702</v>
      </c>
      <c r="AC5">
        <f>AA5-$AA$252</f>
        <v>-4.2285106557095532E-2</v>
      </c>
      <c r="AE5">
        <f>AB5+V5+P5+J5+D5</f>
        <v>97.073896429419975</v>
      </c>
      <c r="AF5">
        <f>AE5/AE4-1</f>
        <v>-2.9261035705800298E-2</v>
      </c>
      <c r="AN5" s="7">
        <f>AVERAGE(AF5:AF250)</f>
        <v>7.5091252345603336E-4</v>
      </c>
    </row>
    <row r="6" spans="1:45" x14ac:dyDescent="0.3">
      <c r="A6" s="1">
        <v>45719</v>
      </c>
      <c r="B6">
        <v>804.1</v>
      </c>
      <c r="C6">
        <f t="shared" ref="C6:C69" si="0">(B6-B5)/B5</f>
        <v>3.835227272727279E-2</v>
      </c>
      <c r="D6">
        <f>D5*(1+C6)</f>
        <v>16.839790575916229</v>
      </c>
      <c r="E6">
        <f t="shared" ref="E6:E69" si="1">C6-$C$252</f>
        <v>3.7293596710211277E-2</v>
      </c>
      <c r="G6" s="1">
        <v>45719</v>
      </c>
      <c r="H6">
        <v>342.85</v>
      </c>
      <c r="I6">
        <f t="shared" ref="I6:I69" si="2">(H6-H5)/H5</f>
        <v>1.0760613207547272E-2</v>
      </c>
      <c r="J6">
        <f>J5*(1+I6)</f>
        <v>25.965919021264202</v>
      </c>
      <c r="K6">
        <f t="shared" ref="K6:K69" si="3">I6-$I$252</f>
        <v>1.0239635213547194E-2</v>
      </c>
      <c r="M6" s="1">
        <v>45719</v>
      </c>
      <c r="N6" s="2">
        <v>10340.799999999999</v>
      </c>
      <c r="O6">
        <f t="shared" ref="O6:O69" si="4">(N6-N5)/N5</f>
        <v>2.0965695639510343E-2</v>
      </c>
      <c r="P6">
        <f>P5*(1+O6)</f>
        <v>13.856819476150141</v>
      </c>
      <c r="Q6">
        <f t="shared" ref="Q6:Q69" si="5">O6-$O$252</f>
        <v>2.0000429393340326E-2</v>
      </c>
      <c r="S6" s="1">
        <v>45719</v>
      </c>
      <c r="T6">
        <v>695.3</v>
      </c>
      <c r="U6">
        <f t="shared" ref="U6:U69" si="6">(T6-T5)/T5</f>
        <v>9.4367015098722421E-3</v>
      </c>
      <c r="V6">
        <f>V5*(1+U6)</f>
        <v>20.743429464412557</v>
      </c>
      <c r="W6">
        <f t="shared" ref="W6:W69" si="7">U6-$U$252</f>
        <v>7.1873471344285154E-3</v>
      </c>
      <c r="Y6" s="1">
        <v>45719</v>
      </c>
      <c r="Z6" s="2">
        <v>1708.6</v>
      </c>
      <c r="AA6" s="4">
        <f t="shared" ref="AA6:AA69" si="8">(Z6-Z5)/Z5</f>
        <v>1.238371748533499E-2</v>
      </c>
      <c r="AB6">
        <f>AB5*(1+AA6)</f>
        <v>21.305446919458142</v>
      </c>
      <c r="AC6">
        <f t="shared" ref="AC6:AC69" si="9">AA6-$AA$252</f>
        <v>1.3515263424980325E-2</v>
      </c>
      <c r="AE6">
        <f t="shared" ref="AE6:AE69" si="10">AB6+V6+P6+J6+D6</f>
        <v>98.711405457201266</v>
      </c>
      <c r="AF6">
        <f t="shared" ref="AF6:AF69" si="11">AE6/AE5-1</f>
        <v>1.6868685486132629E-2</v>
      </c>
      <c r="AH6">
        <v>-4.7070379127625135E-2</v>
      </c>
      <c r="AI6">
        <v>-1.2463885072357265E-2</v>
      </c>
      <c r="AJ6">
        <v>-3.1517591410202016E-2</v>
      </c>
      <c r="AK6">
        <v>-2.3701265158225404E-2</v>
      </c>
      <c r="AL6">
        <v>-4.2285106557095532E-2</v>
      </c>
    </row>
    <row r="7" spans="1:45" x14ac:dyDescent="0.3">
      <c r="A7" s="1">
        <v>45720</v>
      </c>
      <c r="B7">
        <v>768.55</v>
      </c>
      <c r="C7">
        <f t="shared" si="0"/>
        <v>-4.4210919039920492E-2</v>
      </c>
      <c r="D7">
        <f t="shared" ref="D7:D70" si="12">D6*(1+C7)</f>
        <v>16.095287958115183</v>
      </c>
      <c r="E7">
        <f t="shared" si="1"/>
        <v>-4.5269595056982005E-2</v>
      </c>
      <c r="G7" s="1">
        <v>45720</v>
      </c>
      <c r="H7">
        <v>345.95</v>
      </c>
      <c r="I7">
        <f t="shared" si="2"/>
        <v>9.0418550386465388E-3</v>
      </c>
      <c r="J7">
        <f t="shared" ref="J7:J70" si="13">J6*(1+I7)</f>
        <v>26.20069909699971</v>
      </c>
      <c r="K7">
        <f t="shared" si="3"/>
        <v>8.5208770446464615E-3</v>
      </c>
      <c r="M7" s="1">
        <v>45720</v>
      </c>
      <c r="N7" s="2">
        <v>10370.1</v>
      </c>
      <c r="O7">
        <f t="shared" si="4"/>
        <v>2.8334364846047786E-3</v>
      </c>
      <c r="P7">
        <f t="shared" ref="P7:P70" si="14">P6*(1+O7)</f>
        <v>13.896081894014447</v>
      </c>
      <c r="Q7">
        <f t="shared" si="5"/>
        <v>1.8681702384347623E-3</v>
      </c>
      <c r="S7" s="1">
        <v>45720</v>
      </c>
      <c r="T7">
        <v>716.05</v>
      </c>
      <c r="U7">
        <f t="shared" si="6"/>
        <v>2.9843233136775494E-2</v>
      </c>
      <c r="V7">
        <f t="shared" ref="V7:V70" si="15">V6*(1+U7)</f>
        <v>21.362480465975278</v>
      </c>
      <c r="W7">
        <f t="shared" si="7"/>
        <v>2.7593878761331767E-2</v>
      </c>
      <c r="Y7" s="1">
        <v>45720</v>
      </c>
      <c r="Z7" s="2">
        <v>1688.3</v>
      </c>
      <c r="AA7" s="4">
        <f t="shared" si="8"/>
        <v>-1.1881072222872501E-2</v>
      </c>
      <c r="AB7">
        <f t="shared" ref="AB7:AB70" si="16">AB6*(1+AA7)</f>
        <v>21.052315365867482</v>
      </c>
      <c r="AC7">
        <f t="shared" si="9"/>
        <v>-1.0749526283227166E-2</v>
      </c>
      <c r="AE7">
        <f t="shared" si="10"/>
        <v>98.606864780972103</v>
      </c>
      <c r="AF7">
        <f t="shared" si="11"/>
        <v>-1.0590536700897379E-3</v>
      </c>
      <c r="AH7">
        <v>3.7293596710211277E-2</v>
      </c>
      <c r="AI7">
        <v>1.0239635213547194E-2</v>
      </c>
      <c r="AJ7">
        <v>2.0000429393340326E-2</v>
      </c>
      <c r="AK7">
        <v>7.1873471344285154E-3</v>
      </c>
      <c r="AL7">
        <v>1.3515263424980325E-2</v>
      </c>
    </row>
    <row r="8" spans="1:45" x14ac:dyDescent="0.3">
      <c r="A8" s="1">
        <v>45721</v>
      </c>
      <c r="B8">
        <v>848.7</v>
      </c>
      <c r="C8">
        <f t="shared" si="0"/>
        <v>0.10428729425541616</v>
      </c>
      <c r="D8">
        <f t="shared" si="12"/>
        <v>17.773821989528798</v>
      </c>
      <c r="E8">
        <f t="shared" si="1"/>
        <v>0.10322861823835465</v>
      </c>
      <c r="G8" s="1">
        <v>45721</v>
      </c>
      <c r="H8">
        <v>351.4</v>
      </c>
      <c r="I8">
        <f t="shared" si="2"/>
        <v>1.5753721636074546E-2</v>
      </c>
      <c r="J8">
        <f t="shared" si="13"/>
        <v>26.613457617244393</v>
      </c>
      <c r="K8">
        <f t="shared" si="3"/>
        <v>1.5232743642074468E-2</v>
      </c>
      <c r="M8" s="1">
        <v>45721</v>
      </c>
      <c r="N8" s="2">
        <v>10464.200000000001</v>
      </c>
      <c r="O8">
        <f t="shared" si="4"/>
        <v>9.074165147877105E-3</v>
      </c>
      <c r="P8">
        <f t="shared" si="14"/>
        <v>14.02217723602916</v>
      </c>
      <c r="Q8">
        <f t="shared" si="5"/>
        <v>8.108898901707089E-3</v>
      </c>
      <c r="S8" s="1">
        <v>45721</v>
      </c>
      <c r="T8">
        <v>730.35</v>
      </c>
      <c r="U8">
        <f t="shared" si="6"/>
        <v>1.997067243907558E-2</v>
      </c>
      <c r="V8">
        <f t="shared" si="15"/>
        <v>21.789103565847419</v>
      </c>
      <c r="W8">
        <f t="shared" si="7"/>
        <v>1.7721318063631853E-2</v>
      </c>
      <c r="Y8" s="1">
        <v>45721</v>
      </c>
      <c r="Z8" s="2">
        <v>1711.5</v>
      </c>
      <c r="AA8" s="4">
        <f t="shared" si="8"/>
        <v>1.3741633595924922E-2</v>
      </c>
      <c r="AB8">
        <f t="shared" si="16"/>
        <v>21.34160856997109</v>
      </c>
      <c r="AC8">
        <f t="shared" si="9"/>
        <v>1.4873179535570257E-2</v>
      </c>
      <c r="AE8">
        <f t="shared" si="10"/>
        <v>101.54016897862086</v>
      </c>
      <c r="AF8">
        <f t="shared" si="11"/>
        <v>2.9747464379526578E-2</v>
      </c>
      <c r="AH8">
        <v>-4.5269595056982005E-2</v>
      </c>
      <c r="AI8">
        <v>8.5208770446464615E-3</v>
      </c>
      <c r="AJ8">
        <v>1.8681702384347623E-3</v>
      </c>
      <c r="AK8">
        <v>2.7593878761331767E-2</v>
      </c>
      <c r="AL8">
        <v>-1.0749526283227166E-2</v>
      </c>
      <c r="AN8" t="s">
        <v>20</v>
      </c>
    </row>
    <row r="9" spans="1:45" x14ac:dyDescent="0.3">
      <c r="A9" s="1">
        <v>45722</v>
      </c>
      <c r="B9">
        <v>845.95</v>
      </c>
      <c r="C9">
        <f t="shared" si="0"/>
        <v>-3.2402497938022858E-3</v>
      </c>
      <c r="D9">
        <f t="shared" si="12"/>
        <v>17.716230366492148</v>
      </c>
      <c r="E9">
        <f t="shared" si="1"/>
        <v>-4.2989258108638009E-3</v>
      </c>
      <c r="G9" s="1">
        <v>45722</v>
      </c>
      <c r="H9">
        <v>354.05</v>
      </c>
      <c r="I9">
        <f t="shared" si="2"/>
        <v>7.5412635173592322E-3</v>
      </c>
      <c r="J9">
        <f t="shared" si="13"/>
        <v>26.814156714244106</v>
      </c>
      <c r="K9">
        <f t="shared" si="3"/>
        <v>7.020285523359154E-3</v>
      </c>
      <c r="M9" s="1">
        <v>45722</v>
      </c>
      <c r="N9" s="2">
        <v>10493.5</v>
      </c>
      <c r="O9">
        <f t="shared" si="4"/>
        <v>2.80002293534138E-3</v>
      </c>
      <c r="P9">
        <f t="shared" si="14"/>
        <v>14.061439653893462</v>
      </c>
      <c r="Q9">
        <f t="shared" si="5"/>
        <v>1.8347566891713637E-3</v>
      </c>
      <c r="S9" s="1">
        <v>45722</v>
      </c>
      <c r="T9">
        <v>732.05</v>
      </c>
      <c r="U9">
        <f t="shared" si="6"/>
        <v>2.3276511261722897E-3</v>
      </c>
      <c r="V9">
        <f t="shared" si="15"/>
        <v>21.839820997300748</v>
      </c>
      <c r="W9">
        <f t="shared" si="7"/>
        <v>7.8296750728562917E-5</v>
      </c>
      <c r="Y9" s="1">
        <v>45722</v>
      </c>
      <c r="Z9" s="2">
        <v>1715.85</v>
      </c>
      <c r="AA9" s="4">
        <f t="shared" si="8"/>
        <v>2.5416301489920592E-3</v>
      </c>
      <c r="AB9">
        <f t="shared" si="16"/>
        <v>21.395851045740514</v>
      </c>
      <c r="AC9">
        <f t="shared" si="9"/>
        <v>3.6731760886373937E-3</v>
      </c>
      <c r="AE9">
        <f t="shared" si="10"/>
        <v>101.82749877767097</v>
      </c>
      <c r="AF9">
        <f t="shared" si="11"/>
        <v>2.8297155888188374E-3</v>
      </c>
      <c r="AH9">
        <v>0.10322861823835465</v>
      </c>
      <c r="AI9">
        <v>1.5232743642074468E-2</v>
      </c>
      <c r="AJ9">
        <v>8.108898901707089E-3</v>
      </c>
      <c r="AK9">
        <v>1.7721318063631853E-2</v>
      </c>
      <c r="AL9">
        <v>1.4873179535570257E-2</v>
      </c>
      <c r="AN9" s="12">
        <f>_xlfn.STDEV.P(AF5:AF250)</f>
        <v>1.123431486586947E-2</v>
      </c>
    </row>
    <row r="10" spans="1:45" x14ac:dyDescent="0.3">
      <c r="A10" s="1">
        <v>45723</v>
      </c>
      <c r="B10">
        <v>837.2</v>
      </c>
      <c r="C10">
        <f t="shared" si="0"/>
        <v>-1.0343400910219279E-2</v>
      </c>
      <c r="D10">
        <f t="shared" si="12"/>
        <v>17.532984293193721</v>
      </c>
      <c r="E10">
        <f t="shared" si="1"/>
        <v>-1.1402076927280794E-2</v>
      </c>
      <c r="G10" s="1">
        <v>45723</v>
      </c>
      <c r="H10">
        <v>351.45</v>
      </c>
      <c r="I10">
        <f t="shared" si="2"/>
        <v>-7.343595537353545E-3</v>
      </c>
      <c r="J10">
        <f t="shared" si="13"/>
        <v>26.617244392659487</v>
      </c>
      <c r="K10">
        <f t="shared" si="3"/>
        <v>-7.8645735313536223E-3</v>
      </c>
      <c r="M10" s="1">
        <v>45723</v>
      </c>
      <c r="N10" s="2">
        <v>10582.4</v>
      </c>
      <c r="O10">
        <f t="shared" si="4"/>
        <v>8.4719111831133218E-3</v>
      </c>
      <c r="P10">
        <f t="shared" si="14"/>
        <v>14.180566921747955</v>
      </c>
      <c r="Q10">
        <f t="shared" si="5"/>
        <v>7.5066449369433057E-3</v>
      </c>
      <c r="S10" s="1">
        <v>45723</v>
      </c>
      <c r="T10">
        <v>732.75</v>
      </c>
      <c r="U10">
        <f t="shared" si="6"/>
        <v>9.5621883751116112E-4</v>
      </c>
      <c r="V10">
        <f t="shared" si="15"/>
        <v>21.860704645546239</v>
      </c>
      <c r="W10">
        <f t="shared" si="7"/>
        <v>-1.2931355379325656E-3</v>
      </c>
      <c r="Y10" s="1">
        <v>45723</v>
      </c>
      <c r="Z10" s="2">
        <v>1686</v>
      </c>
      <c r="AA10" s="4">
        <f t="shared" si="8"/>
        <v>-1.7396625579158966E-2</v>
      </c>
      <c r="AB10">
        <f t="shared" si="16"/>
        <v>21.023635436150307</v>
      </c>
      <c r="AC10">
        <f t="shared" si="9"/>
        <v>-1.6265079639513631E-2</v>
      </c>
      <c r="AE10">
        <f t="shared" si="10"/>
        <v>101.21513568929771</v>
      </c>
      <c r="AF10">
        <f t="shared" si="11"/>
        <v>-6.0137300407455685E-3</v>
      </c>
      <c r="AH10">
        <v>-4.2989258108638009E-3</v>
      </c>
      <c r="AI10">
        <v>7.020285523359154E-3</v>
      </c>
      <c r="AJ10">
        <v>1.8347566891713637E-3</v>
      </c>
      <c r="AK10">
        <v>7.8296750728562917E-5</v>
      </c>
      <c r="AL10">
        <v>3.6731760886373937E-3</v>
      </c>
    </row>
    <row r="11" spans="1:45" x14ac:dyDescent="0.3">
      <c r="A11" s="1">
        <v>45726</v>
      </c>
      <c r="B11">
        <v>826.05</v>
      </c>
      <c r="C11">
        <f t="shared" si="0"/>
        <v>-1.3318203535594948E-2</v>
      </c>
      <c r="D11">
        <f t="shared" si="12"/>
        <v>17.299476439790578</v>
      </c>
      <c r="E11">
        <f t="shared" si="1"/>
        <v>-1.4376879552656463E-2</v>
      </c>
      <c r="G11" s="1">
        <v>45726</v>
      </c>
      <c r="H11">
        <v>352.45</v>
      </c>
      <c r="I11">
        <f t="shared" si="2"/>
        <v>2.8453549580310144E-3</v>
      </c>
      <c r="J11">
        <f t="shared" si="13"/>
        <v>26.692979900961262</v>
      </c>
      <c r="K11">
        <f t="shared" si="3"/>
        <v>2.3243769640309366E-3</v>
      </c>
      <c r="M11" s="1">
        <v>45726</v>
      </c>
      <c r="N11" s="2">
        <v>10520.1</v>
      </c>
      <c r="O11">
        <f t="shared" si="4"/>
        <v>-5.8871333534925227E-3</v>
      </c>
      <c r="P11">
        <f t="shared" si="14"/>
        <v>14.0970840332515</v>
      </c>
      <c r="Q11">
        <f t="shared" si="5"/>
        <v>-6.8523995996625387E-3</v>
      </c>
      <c r="S11" s="1">
        <v>45726</v>
      </c>
      <c r="T11">
        <v>728.9</v>
      </c>
      <c r="U11">
        <f t="shared" si="6"/>
        <v>-5.2541794609348652E-3</v>
      </c>
      <c r="V11">
        <f t="shared" si="15"/>
        <v>21.745844580196046</v>
      </c>
      <c r="W11">
        <f t="shared" si="7"/>
        <v>-7.503533836378592E-3</v>
      </c>
      <c r="Y11" s="1">
        <v>45726</v>
      </c>
      <c r="Z11" s="2">
        <v>1701.45</v>
      </c>
      <c r="AA11" s="4">
        <f t="shared" si="8"/>
        <v>9.1637010676156854E-3</v>
      </c>
      <c r="AB11">
        <f t="shared" si="16"/>
        <v>21.216289746641724</v>
      </c>
      <c r="AC11">
        <f t="shared" si="9"/>
        <v>1.029524700726102E-2</v>
      </c>
      <c r="AE11">
        <f t="shared" si="10"/>
        <v>101.0516747008411</v>
      </c>
      <c r="AF11">
        <f t="shared" si="11"/>
        <v>-1.6149856179453748E-3</v>
      </c>
      <c r="AH11">
        <v>-1.1402076927280794E-2</v>
      </c>
      <c r="AI11">
        <v>-7.8645735313536223E-3</v>
      </c>
      <c r="AJ11">
        <v>7.5066449369433057E-3</v>
      </c>
      <c r="AK11">
        <v>-1.2931355379325656E-3</v>
      </c>
      <c r="AL11">
        <v>-1.6265079639513631E-2</v>
      </c>
    </row>
    <row r="12" spans="1:45" x14ac:dyDescent="0.3">
      <c r="A12" s="1">
        <v>45727</v>
      </c>
      <c r="B12">
        <v>824.2</v>
      </c>
      <c r="C12">
        <f t="shared" si="0"/>
        <v>-2.2395738756732756E-3</v>
      </c>
      <c r="D12">
        <f t="shared" si="12"/>
        <v>17.260732984293195</v>
      </c>
      <c r="E12">
        <f t="shared" si="1"/>
        <v>-3.2982498927347907E-3</v>
      </c>
      <c r="G12" s="1">
        <v>45727</v>
      </c>
      <c r="H12">
        <v>352.45</v>
      </c>
      <c r="I12">
        <f t="shared" si="2"/>
        <v>0</v>
      </c>
      <c r="J12">
        <f t="shared" si="13"/>
        <v>26.692979900961262</v>
      </c>
      <c r="K12">
        <f t="shared" si="3"/>
        <v>-5.2097799400007772E-4</v>
      </c>
      <c r="M12" s="1">
        <v>45727</v>
      </c>
      <c r="N12" s="2">
        <v>10439.25</v>
      </c>
      <c r="O12">
        <f t="shared" si="4"/>
        <v>-7.6852881626600852E-3</v>
      </c>
      <c r="P12">
        <f t="shared" si="14"/>
        <v>13.988743880202728</v>
      </c>
      <c r="Q12">
        <f t="shared" si="5"/>
        <v>-8.6505544088301013E-3</v>
      </c>
      <c r="S12" s="1">
        <v>45727</v>
      </c>
      <c r="T12">
        <v>729.85</v>
      </c>
      <c r="U12">
        <f t="shared" si="6"/>
        <v>1.3033337906434978E-3</v>
      </c>
      <c r="V12">
        <f t="shared" si="15"/>
        <v>21.774186674243495</v>
      </c>
      <c r="W12">
        <f t="shared" si="7"/>
        <v>-9.4602058480022897E-4</v>
      </c>
      <c r="Y12" s="1">
        <v>45727</v>
      </c>
      <c r="Z12" s="2">
        <v>1661.6</v>
      </c>
      <c r="AA12" s="4">
        <f t="shared" si="8"/>
        <v>-2.3421199565076926E-2</v>
      </c>
      <c r="AB12">
        <f t="shared" si="16"/>
        <v>20.719378790455131</v>
      </c>
      <c r="AC12">
        <f t="shared" si="9"/>
        <v>-2.2289653625431591E-2</v>
      </c>
      <c r="AE12">
        <f t="shared" si="10"/>
        <v>100.43602223015581</v>
      </c>
      <c r="AF12">
        <f t="shared" si="11"/>
        <v>-6.092451931231202E-3</v>
      </c>
      <c r="AH12">
        <v>-1.4376879552656463E-2</v>
      </c>
      <c r="AI12">
        <v>2.3243769640309366E-3</v>
      </c>
      <c r="AJ12">
        <v>-6.8523995996625387E-3</v>
      </c>
      <c r="AK12">
        <v>-7.503533836378592E-3</v>
      </c>
      <c r="AL12">
        <v>1.029524700726102E-2</v>
      </c>
      <c r="AN12" s="13" t="s">
        <v>33</v>
      </c>
    </row>
    <row r="13" spans="1:45" x14ac:dyDescent="0.3">
      <c r="A13" s="1">
        <v>45728</v>
      </c>
      <c r="B13">
        <v>853.45</v>
      </c>
      <c r="C13">
        <f t="shared" si="0"/>
        <v>3.5488958990536279E-2</v>
      </c>
      <c r="D13">
        <f t="shared" si="12"/>
        <v>17.873298429319373</v>
      </c>
      <c r="E13">
        <f t="shared" si="1"/>
        <v>3.4430282973474766E-2</v>
      </c>
      <c r="G13" s="1">
        <v>45728</v>
      </c>
      <c r="H13">
        <v>356.25</v>
      </c>
      <c r="I13">
        <f t="shared" si="2"/>
        <v>1.0781671159029681E-2</v>
      </c>
      <c r="J13">
        <f t="shared" si="13"/>
        <v>26.980774832508015</v>
      </c>
      <c r="K13">
        <f t="shared" si="3"/>
        <v>1.0260693165029604E-2</v>
      </c>
      <c r="M13" s="1">
        <v>45728</v>
      </c>
      <c r="N13" s="2">
        <v>10520.4</v>
      </c>
      <c r="O13">
        <f t="shared" si="4"/>
        <v>7.7735469502119058E-3</v>
      </c>
      <c r="P13">
        <f t="shared" si="14"/>
        <v>14.097486037529972</v>
      </c>
      <c r="Q13">
        <f t="shared" si="5"/>
        <v>6.8082807040418898E-3</v>
      </c>
      <c r="S13" s="1">
        <v>45728</v>
      </c>
      <c r="T13">
        <v>723.05</v>
      </c>
      <c r="U13">
        <f t="shared" si="6"/>
        <v>-9.316982941700443E-3</v>
      </c>
      <c r="V13">
        <f t="shared" si="15"/>
        <v>21.571316948430166</v>
      </c>
      <c r="W13">
        <f t="shared" si="7"/>
        <v>-1.156633731714417E-2</v>
      </c>
      <c r="Y13" s="1">
        <v>45728</v>
      </c>
      <c r="Z13" s="2">
        <v>1574</v>
      </c>
      <c r="AA13" s="4">
        <f t="shared" si="8"/>
        <v>-5.2720269619643663E-2</v>
      </c>
      <c r="AB13">
        <f t="shared" si="16"/>
        <v>19.62704755427081</v>
      </c>
      <c r="AC13">
        <f t="shared" si="9"/>
        <v>-5.1588723679998331E-2</v>
      </c>
      <c r="AE13">
        <f t="shared" si="10"/>
        <v>100.14992380205834</v>
      </c>
      <c r="AF13">
        <f t="shared" si="11"/>
        <v>-2.8485639090909398E-3</v>
      </c>
      <c r="AH13">
        <v>-3.2982498927347907E-3</v>
      </c>
      <c r="AI13">
        <v>-5.2097799400007772E-4</v>
      </c>
      <c r="AJ13">
        <v>-8.6505544088301013E-3</v>
      </c>
      <c r="AK13">
        <v>-9.4602058480022897E-4</v>
      </c>
      <c r="AL13">
        <v>-2.2289653625431591E-2</v>
      </c>
      <c r="AN13" s="19"/>
      <c r="AO13" s="21" t="s">
        <v>23</v>
      </c>
      <c r="AP13" s="22" t="s">
        <v>24</v>
      </c>
      <c r="AQ13" s="23" t="s">
        <v>25</v>
      </c>
      <c r="AR13" s="24" t="s">
        <v>26</v>
      </c>
      <c r="AS13" s="25" t="s">
        <v>27</v>
      </c>
    </row>
    <row r="14" spans="1:45" x14ac:dyDescent="0.3">
      <c r="A14" s="1">
        <v>45729</v>
      </c>
      <c r="B14">
        <v>873.65</v>
      </c>
      <c r="C14">
        <f t="shared" si="0"/>
        <v>2.3668639053254358E-2</v>
      </c>
      <c r="D14">
        <f t="shared" si="12"/>
        <v>18.296335078534032</v>
      </c>
      <c r="E14">
        <f t="shared" si="1"/>
        <v>2.2609963036192844E-2</v>
      </c>
      <c r="G14" s="1">
        <v>45729</v>
      </c>
      <c r="H14">
        <v>350.75</v>
      </c>
      <c r="I14">
        <f t="shared" si="2"/>
        <v>-1.5438596491228071E-2</v>
      </c>
      <c r="J14">
        <f t="shared" si="13"/>
        <v>26.564229536848242</v>
      </c>
      <c r="K14">
        <f t="shared" si="3"/>
        <v>-1.595957448522815E-2</v>
      </c>
      <c r="M14" s="1">
        <v>45729</v>
      </c>
      <c r="N14" s="2">
        <v>10452.1</v>
      </c>
      <c r="O14">
        <f t="shared" si="4"/>
        <v>-6.4921485875061094E-3</v>
      </c>
      <c r="P14">
        <f t="shared" si="14"/>
        <v>14.005963063464034</v>
      </c>
      <c r="Q14">
        <f t="shared" si="5"/>
        <v>-7.4574148336761254E-3</v>
      </c>
      <c r="S14" s="1">
        <v>45729</v>
      </c>
      <c r="T14">
        <v>727.85</v>
      </c>
      <c r="U14">
        <f t="shared" si="6"/>
        <v>6.6385450522094859E-3</v>
      </c>
      <c r="V14">
        <f t="shared" si="15"/>
        <v>21.714519107827812</v>
      </c>
      <c r="W14">
        <f t="shared" si="7"/>
        <v>4.3891906767657592E-3</v>
      </c>
      <c r="Y14" s="1">
        <v>45729</v>
      </c>
      <c r="Z14" s="2">
        <v>1579.85</v>
      </c>
      <c r="AA14" s="4">
        <f t="shared" si="8"/>
        <v>3.7166454891994338E-3</v>
      </c>
      <c r="AB14">
        <f t="shared" si="16"/>
        <v>19.699994332029693</v>
      </c>
      <c r="AC14">
        <f t="shared" si="9"/>
        <v>4.8481914288447687E-3</v>
      </c>
      <c r="AE14">
        <f t="shared" si="10"/>
        <v>100.28104111870381</v>
      </c>
      <c r="AF14">
        <f t="shared" si="11"/>
        <v>1.3092103485232709E-3</v>
      </c>
      <c r="AH14">
        <v>3.4430282973474766E-2</v>
      </c>
      <c r="AI14">
        <v>1.0260693165029604E-2</v>
      </c>
      <c r="AJ14">
        <v>6.8082807040418898E-3</v>
      </c>
      <c r="AK14">
        <v>-1.156633731714417E-2</v>
      </c>
      <c r="AL14">
        <v>-5.1588723679998331E-2</v>
      </c>
      <c r="AN14" s="21" t="s">
        <v>23</v>
      </c>
      <c r="AO14" s="18">
        <f>_xlfn.VAR.S(E5:E250)</f>
        <v>7.2483715678417797E-4</v>
      </c>
      <c r="AP14" s="16">
        <f>_xlfn.COVARIANCE.S(E5:E250,K5:K250)</f>
        <v>2.3032890863946924E-4</v>
      </c>
      <c r="AQ14" s="16">
        <f>_xlfn.COVARIANCE.S(E5:E250,Q5:Q250)</f>
        <v>1.1287304883502619E-4</v>
      </c>
      <c r="AR14" s="16">
        <f>_xlfn.COVARIANCE.S(E5:E250,W5:W250)</f>
        <v>1.2331807614345265E-4</v>
      </c>
      <c r="AS14" s="16">
        <f>_xlfn.COVARIANCE.S(E5:E250,AC5:AC250)</f>
        <v>6.21913432271551E-5</v>
      </c>
    </row>
    <row r="15" spans="1:45" x14ac:dyDescent="0.3">
      <c r="A15" s="1">
        <v>45733</v>
      </c>
      <c r="B15">
        <v>896.45</v>
      </c>
      <c r="C15">
        <f t="shared" si="0"/>
        <v>2.6097407428604211E-2</v>
      </c>
      <c r="D15">
        <f t="shared" si="12"/>
        <v>18.773821989528798</v>
      </c>
      <c r="E15">
        <f t="shared" si="1"/>
        <v>2.5038731411542697E-2</v>
      </c>
      <c r="G15" s="1">
        <v>45733</v>
      </c>
      <c r="H15">
        <v>350.75</v>
      </c>
      <c r="I15">
        <f t="shared" si="2"/>
        <v>0</v>
      </c>
      <c r="J15">
        <f t="shared" si="13"/>
        <v>26.564229536848242</v>
      </c>
      <c r="K15">
        <f t="shared" si="3"/>
        <v>-5.2097799400007772E-4</v>
      </c>
      <c r="M15" s="1">
        <v>45733</v>
      </c>
      <c r="N15" s="2">
        <v>10547.1</v>
      </c>
      <c r="O15">
        <f t="shared" si="4"/>
        <v>9.0890825767070728E-3</v>
      </c>
      <c r="P15">
        <f t="shared" si="14"/>
        <v>14.133264418314168</v>
      </c>
      <c r="Q15">
        <f t="shared" si="5"/>
        <v>8.1238163305370568E-3</v>
      </c>
      <c r="S15" s="1">
        <v>45733</v>
      </c>
      <c r="T15">
        <v>723.15</v>
      </c>
      <c r="U15">
        <f t="shared" si="6"/>
        <v>-6.4573744590232128E-3</v>
      </c>
      <c r="V15">
        <f t="shared" si="15"/>
        <v>21.574300326750954</v>
      </c>
      <c r="W15">
        <f t="shared" si="7"/>
        <v>-8.7067288344669404E-3</v>
      </c>
      <c r="Y15" s="1">
        <v>45733</v>
      </c>
      <c r="Z15" s="2">
        <v>1590.05</v>
      </c>
      <c r="AA15" s="4">
        <f t="shared" si="8"/>
        <v>6.4563091432731246E-3</v>
      </c>
      <c r="AB15">
        <f t="shared" si="16"/>
        <v>19.827183585558007</v>
      </c>
      <c r="AC15">
        <f t="shared" si="9"/>
        <v>7.5878550829184595E-3</v>
      </c>
      <c r="AE15">
        <f t="shared" si="10"/>
        <v>100.87279985700017</v>
      </c>
      <c r="AF15">
        <f t="shared" si="11"/>
        <v>5.901003137730676E-3</v>
      </c>
      <c r="AH15">
        <v>2.2609963036192844E-2</v>
      </c>
      <c r="AI15">
        <v>-1.595957448522815E-2</v>
      </c>
      <c r="AJ15">
        <v>-7.4574148336761254E-3</v>
      </c>
      <c r="AK15">
        <v>4.3891906767657592E-3</v>
      </c>
      <c r="AL15">
        <v>4.8481914288447687E-3</v>
      </c>
      <c r="AN15" s="22" t="s">
        <v>24</v>
      </c>
      <c r="AO15" s="27">
        <f>_xlfn.COVARIANCE.S(K5:K250,E5:E250)</f>
        <v>2.3032890863946924E-4</v>
      </c>
      <c r="AP15" s="18">
        <f>_xlfn.VAR.S(K5:K250)</f>
        <v>1.9024043796085448E-4</v>
      </c>
      <c r="AQ15" s="16">
        <f>_xlfn.COVARIANCE.S(K5:K250,Q5:Q250)</f>
        <v>7.1205586937049371E-5</v>
      </c>
      <c r="AR15" s="16">
        <f>_xlfn.COVARIANCE.S(K5:K250,W5:W250)</f>
        <v>8.442842680683541E-5</v>
      </c>
      <c r="AS15" s="16">
        <f>_xlfn.COVARIANCE.S(W5:W250,AF5:AF250)</f>
        <v>9.5312123576592249E-5</v>
      </c>
    </row>
    <row r="16" spans="1:45" x14ac:dyDescent="0.3">
      <c r="A16" s="1">
        <v>45734</v>
      </c>
      <c r="B16">
        <v>900.9</v>
      </c>
      <c r="C16">
        <f t="shared" si="0"/>
        <v>4.9640247643481863E-3</v>
      </c>
      <c r="D16">
        <f t="shared" si="12"/>
        <v>18.867015706806281</v>
      </c>
      <c r="E16">
        <f t="shared" si="1"/>
        <v>3.9053487472866712E-3</v>
      </c>
      <c r="G16" s="1">
        <v>45734</v>
      </c>
      <c r="H16">
        <v>362.7</v>
      </c>
      <c r="I16">
        <f t="shared" si="2"/>
        <v>3.4069850320741238E-2</v>
      </c>
      <c r="J16">
        <f t="shared" si="13"/>
        <v>27.469268861054477</v>
      </c>
      <c r="K16">
        <f t="shared" si="3"/>
        <v>3.3548872326741162E-2</v>
      </c>
      <c r="M16" s="1">
        <v>45734</v>
      </c>
      <c r="N16" s="2">
        <v>10698.1</v>
      </c>
      <c r="O16">
        <f t="shared" si="4"/>
        <v>1.4316731613429284E-2</v>
      </c>
      <c r="P16">
        <f t="shared" si="14"/>
        <v>14.335606571812804</v>
      </c>
      <c r="Q16">
        <f t="shared" si="5"/>
        <v>1.3351465367259268E-2</v>
      </c>
      <c r="S16" s="1">
        <v>45734</v>
      </c>
      <c r="T16">
        <v>736.7</v>
      </c>
      <c r="U16">
        <f t="shared" si="6"/>
        <v>1.873746802184895E-2</v>
      </c>
      <c r="V16">
        <f t="shared" si="15"/>
        <v>21.978548089217217</v>
      </c>
      <c r="W16">
        <f t="shared" si="7"/>
        <v>1.6488113646405223E-2</v>
      </c>
      <c r="Y16" s="1">
        <v>45734</v>
      </c>
      <c r="Z16" s="2">
        <v>1609.35</v>
      </c>
      <c r="AA16" s="4">
        <f t="shared" si="8"/>
        <v>1.2137983082292981E-2</v>
      </c>
      <c r="AB16">
        <f t="shared" si="16"/>
        <v>20.067845604489026</v>
      </c>
      <c r="AC16">
        <f t="shared" si="9"/>
        <v>1.3269529021938316E-2</v>
      </c>
      <c r="AE16">
        <f t="shared" si="10"/>
        <v>102.71828483337981</v>
      </c>
      <c r="AF16">
        <f t="shared" si="11"/>
        <v>1.8295169550125001E-2</v>
      </c>
      <c r="AH16">
        <v>2.5038731411542697E-2</v>
      </c>
      <c r="AI16">
        <v>-5.2097799400007772E-4</v>
      </c>
      <c r="AJ16">
        <v>8.1238163305370568E-3</v>
      </c>
      <c r="AK16">
        <v>-8.7067288344669404E-3</v>
      </c>
      <c r="AL16">
        <v>7.5878550829184595E-3</v>
      </c>
      <c r="AN16" s="23" t="s">
        <v>25</v>
      </c>
      <c r="AO16" s="27">
        <f>_xlfn.COVARIANCE.S(Q5:Q250,E5:E250)</f>
        <v>1.1287304883502619E-4</v>
      </c>
      <c r="AP16" s="27">
        <f>_xlfn.COVARIANCE.S(Q5:Q250,K5:K250)</f>
        <v>7.1205586937049371E-5</v>
      </c>
      <c r="AQ16" s="18">
        <f>_xlfn.VAR.S(Q5:Q250)</f>
        <v>1.2784899028688885E-4</v>
      </c>
      <c r="AR16" s="16">
        <f>_xlfn.COVARIANCE.S(Q5:Q250,W5:W250)</f>
        <v>5.0346755910492704E-5</v>
      </c>
      <c r="AS16" s="16">
        <f>_xlfn.COVARIANCE.S(Q5:Q250,AC5:AC250)</f>
        <v>2.3790448586113074E-5</v>
      </c>
    </row>
    <row r="17" spans="1:45" x14ac:dyDescent="0.3">
      <c r="A17" s="1">
        <v>45735</v>
      </c>
      <c r="B17">
        <v>911.2</v>
      </c>
      <c r="C17">
        <f t="shared" si="0"/>
        <v>1.1433011433011508E-2</v>
      </c>
      <c r="D17">
        <f t="shared" si="12"/>
        <v>19.082722513089003</v>
      </c>
      <c r="E17">
        <f t="shared" si="1"/>
        <v>1.0374335415949993E-2</v>
      </c>
      <c r="G17" s="1">
        <v>45735</v>
      </c>
      <c r="H17">
        <v>371.45</v>
      </c>
      <c r="I17">
        <f t="shared" si="2"/>
        <v>2.4124620898814449E-2</v>
      </c>
      <c r="J17">
        <f t="shared" si="13"/>
        <v>28.131954558695025</v>
      </c>
      <c r="K17">
        <f t="shared" si="3"/>
        <v>2.360364290481437E-2</v>
      </c>
      <c r="M17" s="1">
        <v>45735</v>
      </c>
      <c r="N17" s="2">
        <v>10933.25</v>
      </c>
      <c r="O17">
        <f t="shared" si="4"/>
        <v>2.1980538600312169E-2</v>
      </c>
      <c r="P17">
        <f t="shared" si="14"/>
        <v>14.650710925423425</v>
      </c>
      <c r="Q17">
        <f t="shared" si="5"/>
        <v>2.1015272354142151E-2</v>
      </c>
      <c r="S17" s="1">
        <v>45735</v>
      </c>
      <c r="T17">
        <v>745.1</v>
      </c>
      <c r="U17">
        <f t="shared" si="6"/>
        <v>1.1402198995520533E-2</v>
      </c>
      <c r="V17">
        <f t="shared" si="15"/>
        <v>22.22915186816309</v>
      </c>
      <c r="W17">
        <f t="shared" si="7"/>
        <v>9.1528446200768061E-3</v>
      </c>
      <c r="Y17" s="1">
        <v>45735</v>
      </c>
      <c r="Z17" s="2">
        <v>1586.55</v>
      </c>
      <c r="AA17" s="4">
        <f t="shared" si="8"/>
        <v>-1.4167210364432819E-2</v>
      </c>
      <c r="AB17">
        <f t="shared" si="16"/>
        <v>19.783540214249271</v>
      </c>
      <c r="AC17">
        <f t="shared" si="9"/>
        <v>-1.3035664424787484E-2</v>
      </c>
      <c r="AE17">
        <f t="shared" si="10"/>
        <v>103.87808007961982</v>
      </c>
      <c r="AF17">
        <f t="shared" si="11"/>
        <v>1.1291030103562694E-2</v>
      </c>
      <c r="AH17">
        <v>3.9053487472866712E-3</v>
      </c>
      <c r="AI17">
        <v>3.3548872326741162E-2</v>
      </c>
      <c r="AJ17">
        <v>1.3351465367259268E-2</v>
      </c>
      <c r="AK17">
        <v>1.6488113646405223E-2</v>
      </c>
      <c r="AL17">
        <v>1.3269529021938316E-2</v>
      </c>
      <c r="AN17" s="24" t="s">
        <v>26</v>
      </c>
      <c r="AO17" s="27">
        <f>_xlfn.COVARIANCE.S(W5:W250,E5:E250)</f>
        <v>1.2331807614345265E-4</v>
      </c>
      <c r="AP17" s="27">
        <f>_xlfn.COVARIANCE.S(W5:W250,K5:K250)</f>
        <v>8.442842680683541E-5</v>
      </c>
      <c r="AQ17" s="27">
        <f>_xlfn.COVARIANCE.S(W5:W250,Q5:Q250)</f>
        <v>5.0346755910492704E-5</v>
      </c>
      <c r="AR17" s="18">
        <f>_xlfn.VAR.S(W5:W250)</f>
        <v>1.5809745026099765E-4</v>
      </c>
      <c r="AS17" s="16">
        <f>_xlfn.COVARIANCE.S(W5:W250,AC5:AC250)</f>
        <v>3.2442250675943109E-5</v>
      </c>
    </row>
    <row r="18" spans="1:45" x14ac:dyDescent="0.3">
      <c r="A18" s="1">
        <v>45736</v>
      </c>
      <c r="B18">
        <v>923.4</v>
      </c>
      <c r="C18">
        <f t="shared" si="0"/>
        <v>1.338893766461801E-2</v>
      </c>
      <c r="D18">
        <f t="shared" si="12"/>
        <v>19.338219895287953</v>
      </c>
      <c r="E18">
        <f t="shared" si="1"/>
        <v>1.2330261647556495E-2</v>
      </c>
      <c r="G18" s="1">
        <v>45736</v>
      </c>
      <c r="H18">
        <v>370.35</v>
      </c>
      <c r="I18">
        <f t="shared" si="2"/>
        <v>-2.961367613406827E-3</v>
      </c>
      <c r="J18">
        <f t="shared" si="13"/>
        <v>28.048645499563072</v>
      </c>
      <c r="K18">
        <f t="shared" si="3"/>
        <v>-3.4823456074069047E-3</v>
      </c>
      <c r="M18" s="1">
        <v>45736</v>
      </c>
      <c r="N18" s="2">
        <v>10948.15</v>
      </c>
      <c r="O18">
        <f t="shared" si="4"/>
        <v>1.3628152653602211E-3</v>
      </c>
      <c r="P18">
        <f t="shared" si="14"/>
        <v>14.670677137920972</v>
      </c>
      <c r="Q18">
        <f t="shared" si="5"/>
        <v>3.9754901919020484E-4</v>
      </c>
      <c r="S18" s="1">
        <v>45736</v>
      </c>
      <c r="T18">
        <v>749.55</v>
      </c>
      <c r="U18">
        <f t="shared" si="6"/>
        <v>5.972352704334897E-3</v>
      </c>
      <c r="V18">
        <f t="shared" si="15"/>
        <v>22.361912203437985</v>
      </c>
      <c r="W18">
        <f t="shared" si="7"/>
        <v>3.7229983288911703E-3</v>
      </c>
      <c r="Y18" s="1">
        <v>45736</v>
      </c>
      <c r="Z18" s="2">
        <v>1615.55</v>
      </c>
      <c r="AA18" s="4">
        <f t="shared" si="8"/>
        <v>1.8278654943115567E-2</v>
      </c>
      <c r="AB18">
        <f t="shared" si="16"/>
        <v>20.145156719378782</v>
      </c>
      <c r="AC18">
        <f t="shared" si="9"/>
        <v>1.9410200882760902E-2</v>
      </c>
      <c r="AE18">
        <f t="shared" si="10"/>
        <v>104.56461145558876</v>
      </c>
      <c r="AF18">
        <f t="shared" si="11"/>
        <v>6.6090110198679941E-3</v>
      </c>
      <c r="AH18">
        <v>1.0374335415949993E-2</v>
      </c>
      <c r="AI18">
        <v>2.360364290481437E-2</v>
      </c>
      <c r="AJ18">
        <v>2.1015272354142151E-2</v>
      </c>
      <c r="AK18">
        <v>9.1528446200768061E-3</v>
      </c>
      <c r="AL18">
        <v>-1.3035664424787484E-2</v>
      </c>
      <c r="AN18" s="25" t="s">
        <v>27</v>
      </c>
      <c r="AO18" s="27">
        <f>_xlfn.COVARIANCE.S(AC5:AC250,E5:E250)</f>
        <v>6.21913432271551E-5</v>
      </c>
      <c r="AP18" s="27">
        <f>_xlfn.COVARIANCE.S(AC5:AC250,K5:K250)</f>
        <v>4.6347525352409757E-5</v>
      </c>
      <c r="AQ18" s="27">
        <f>_xlfn.COVARIANCE.S(AC5:AC250,Q5:Q250)</f>
        <v>2.3790448586113074E-5</v>
      </c>
      <c r="AR18" s="27">
        <f>_xlfn.COVARIANCE.S(AC5:AC250,W5:W250)</f>
        <v>3.2442250675943109E-5</v>
      </c>
      <c r="AS18" s="18">
        <f>_xlfn.VAR.S(AC5:AC250)</f>
        <v>2.8127721259682201E-4</v>
      </c>
    </row>
    <row r="19" spans="1:45" x14ac:dyDescent="0.3">
      <c r="A19" s="1">
        <v>45737</v>
      </c>
      <c r="B19">
        <v>954.25</v>
      </c>
      <c r="C19">
        <f t="shared" si="0"/>
        <v>3.3409140134286357E-2</v>
      </c>
      <c r="D19">
        <f t="shared" si="12"/>
        <v>19.984293193717274</v>
      </c>
      <c r="E19">
        <f t="shared" si="1"/>
        <v>3.2350464117224843E-2</v>
      </c>
      <c r="G19" s="1">
        <v>45737</v>
      </c>
      <c r="H19">
        <v>379.5</v>
      </c>
      <c r="I19">
        <f t="shared" si="2"/>
        <v>2.4706358849736671E-2</v>
      </c>
      <c r="J19">
        <f t="shared" si="13"/>
        <v>28.741625400524331</v>
      </c>
      <c r="K19">
        <f t="shared" si="3"/>
        <v>2.4185380855736592E-2</v>
      </c>
      <c r="M19" s="1">
        <v>45737</v>
      </c>
      <c r="N19" s="2">
        <v>10976.75</v>
      </c>
      <c r="O19">
        <f t="shared" si="4"/>
        <v>2.6123134958874663E-3</v>
      </c>
      <c r="P19">
        <f t="shared" si="14"/>
        <v>14.709001545802172</v>
      </c>
      <c r="Q19">
        <f t="shared" si="5"/>
        <v>1.6470472497174501E-3</v>
      </c>
      <c r="S19" s="1">
        <v>45737</v>
      </c>
      <c r="T19">
        <v>753.2</v>
      </c>
      <c r="U19">
        <f t="shared" si="6"/>
        <v>4.8695884197186195E-3</v>
      </c>
      <c r="V19">
        <f t="shared" si="15"/>
        <v>22.470805512146608</v>
      </c>
      <c r="W19">
        <f t="shared" si="7"/>
        <v>2.6202340442748927E-3</v>
      </c>
      <c r="Y19" s="1">
        <v>45737</v>
      </c>
      <c r="Z19" s="2">
        <v>1592.55</v>
      </c>
      <c r="AA19" s="4">
        <f t="shared" si="8"/>
        <v>-1.4236637677571107E-2</v>
      </c>
      <c r="AB19">
        <f t="shared" si="16"/>
        <v>19.858357422207099</v>
      </c>
      <c r="AC19">
        <f t="shared" si="9"/>
        <v>-1.3105091737925772E-2</v>
      </c>
      <c r="AE19">
        <f t="shared" si="10"/>
        <v>105.76408307439749</v>
      </c>
      <c r="AF19">
        <f t="shared" si="11"/>
        <v>1.1471104823242984E-2</v>
      </c>
      <c r="AH19">
        <v>1.2330261647556495E-2</v>
      </c>
      <c r="AI19">
        <v>-3.4823456074069047E-3</v>
      </c>
      <c r="AJ19">
        <v>3.9754901919020484E-4</v>
      </c>
      <c r="AK19">
        <v>3.7229983288911703E-3</v>
      </c>
      <c r="AL19">
        <v>1.9410200882760902E-2</v>
      </c>
    </row>
    <row r="20" spans="1:45" x14ac:dyDescent="0.3">
      <c r="A20" s="1">
        <v>45740</v>
      </c>
      <c r="B20">
        <v>952.9</v>
      </c>
      <c r="C20">
        <f t="shared" si="0"/>
        <v>-1.414723604925358E-3</v>
      </c>
      <c r="D20">
        <f t="shared" si="12"/>
        <v>19.956020942408372</v>
      </c>
      <c r="E20">
        <f t="shared" si="1"/>
        <v>-2.4733996219868729E-3</v>
      </c>
      <c r="G20" s="1">
        <v>45740</v>
      </c>
      <c r="H20">
        <v>383.3</v>
      </c>
      <c r="I20">
        <f t="shared" si="2"/>
        <v>1.0013175230566565E-2</v>
      </c>
      <c r="J20">
        <f t="shared" si="13"/>
        <v>29.029420332071084</v>
      </c>
      <c r="K20">
        <f t="shared" si="3"/>
        <v>9.4921972365664877E-3</v>
      </c>
      <c r="M20" s="1">
        <v>45740</v>
      </c>
      <c r="N20" s="2">
        <v>11051.2</v>
      </c>
      <c r="O20">
        <f t="shared" si="4"/>
        <v>6.7825175940055783E-3</v>
      </c>
      <c r="P20">
        <f t="shared" si="14"/>
        <v>14.808765607576829</v>
      </c>
      <c r="Q20">
        <f t="shared" si="5"/>
        <v>5.8172513478355623E-3</v>
      </c>
      <c r="S20" s="1">
        <v>45740</v>
      </c>
      <c r="T20">
        <v>780.8</v>
      </c>
      <c r="U20">
        <f t="shared" si="6"/>
        <v>3.6643653744025367E-2</v>
      </c>
      <c r="V20">
        <f t="shared" si="15"/>
        <v>23.294217928683043</v>
      </c>
      <c r="W20">
        <f t="shared" si="7"/>
        <v>3.4394299368581641E-2</v>
      </c>
      <c r="Y20" s="1">
        <v>45740</v>
      </c>
      <c r="Z20" s="2">
        <v>1592.75</v>
      </c>
      <c r="AA20" s="4">
        <f t="shared" si="8"/>
        <v>1.2558475401089163E-4</v>
      </c>
      <c r="AB20">
        <f t="shared" si="16"/>
        <v>19.860851329139027</v>
      </c>
      <c r="AC20">
        <f t="shared" si="9"/>
        <v>1.2571306936562262E-3</v>
      </c>
      <c r="AE20">
        <f t="shared" si="10"/>
        <v>106.94927613987835</v>
      </c>
      <c r="AF20">
        <f t="shared" si="11"/>
        <v>1.1206007096446591E-2</v>
      </c>
      <c r="AH20">
        <v>3.2350464117224843E-2</v>
      </c>
      <c r="AI20">
        <v>2.4185380855736592E-2</v>
      </c>
      <c r="AJ20">
        <v>1.6470472497174501E-3</v>
      </c>
      <c r="AK20">
        <v>2.6202340442748927E-3</v>
      </c>
      <c r="AL20">
        <v>-1.3105091737925772E-2</v>
      </c>
      <c r="AN20" s="13" t="s">
        <v>34</v>
      </c>
    </row>
    <row r="21" spans="1:45" x14ac:dyDescent="0.3">
      <c r="A21" s="1">
        <v>45741</v>
      </c>
      <c r="B21">
        <v>923.4</v>
      </c>
      <c r="C21">
        <f t="shared" si="0"/>
        <v>-3.0958127820337918E-2</v>
      </c>
      <c r="D21">
        <f t="shared" si="12"/>
        <v>19.338219895287953</v>
      </c>
      <c r="E21">
        <f t="shared" si="1"/>
        <v>-3.2016803837399431E-2</v>
      </c>
      <c r="G21" s="1">
        <v>45741</v>
      </c>
      <c r="H21">
        <v>377.1</v>
      </c>
      <c r="I21">
        <f t="shared" si="2"/>
        <v>-1.6175319593008056E-2</v>
      </c>
      <c r="J21">
        <f t="shared" si="13"/>
        <v>28.559860180600065</v>
      </c>
      <c r="K21">
        <f t="shared" si="3"/>
        <v>-1.6696297587008135E-2</v>
      </c>
      <c r="M21" s="1">
        <v>45741</v>
      </c>
      <c r="N21" s="2">
        <v>11421.2</v>
      </c>
      <c r="O21">
        <f t="shared" si="4"/>
        <v>3.3480527001592583E-2</v>
      </c>
      <c r="P21">
        <f t="shared" si="14"/>
        <v>15.30457088436156</v>
      </c>
      <c r="Q21">
        <f t="shared" si="5"/>
        <v>3.2515260755422569E-2</v>
      </c>
      <c r="S21" s="1">
        <v>45741</v>
      </c>
      <c r="T21">
        <v>772.85</v>
      </c>
      <c r="U21">
        <f t="shared" si="6"/>
        <v>-1.0181864754098274E-2</v>
      </c>
      <c r="V21">
        <f t="shared" si="15"/>
        <v>23.057039352180698</v>
      </c>
      <c r="W21">
        <f t="shared" si="7"/>
        <v>-1.2431219129542001E-2</v>
      </c>
      <c r="Y21" s="1">
        <v>45741</v>
      </c>
      <c r="Z21" s="2">
        <v>1628.45</v>
      </c>
      <c r="AA21" s="4">
        <f t="shared" si="8"/>
        <v>2.2414063726259644E-2</v>
      </c>
      <c r="AB21">
        <f t="shared" si="16"/>
        <v>20.306013716488117</v>
      </c>
      <c r="AC21">
        <f t="shared" si="9"/>
        <v>2.3545609665904979E-2</v>
      </c>
      <c r="AE21">
        <f t="shared" si="10"/>
        <v>106.56570402891839</v>
      </c>
      <c r="AF21">
        <f t="shared" si="11"/>
        <v>-3.5864862746549653E-3</v>
      </c>
      <c r="AH21">
        <v>-2.4733996219868729E-3</v>
      </c>
      <c r="AI21">
        <v>9.4921972365664877E-3</v>
      </c>
      <c r="AJ21">
        <v>5.8172513478355623E-3</v>
      </c>
      <c r="AK21">
        <v>3.4394299368581641E-2</v>
      </c>
      <c r="AL21">
        <v>1.2571306936562262E-3</v>
      </c>
      <c r="AN21" s="14" t="s">
        <v>31</v>
      </c>
    </row>
    <row r="22" spans="1:45" x14ac:dyDescent="0.3">
      <c r="A22" s="1">
        <v>45742</v>
      </c>
      <c r="B22">
        <v>912.1</v>
      </c>
      <c r="C22">
        <f t="shared" si="0"/>
        <v>-1.2237383582412774E-2</v>
      </c>
      <c r="D22">
        <f t="shared" si="12"/>
        <v>19.101570680628267</v>
      </c>
      <c r="E22">
        <f t="shared" si="1"/>
        <v>-1.3296059599474289E-2</v>
      </c>
      <c r="G22" s="1">
        <v>45742</v>
      </c>
      <c r="H22">
        <v>376</v>
      </c>
      <c r="I22">
        <f t="shared" si="2"/>
        <v>-2.916998143728514E-3</v>
      </c>
      <c r="J22">
        <f t="shared" si="13"/>
        <v>28.476551121468109</v>
      </c>
      <c r="K22">
        <f t="shared" si="3"/>
        <v>-3.4379761377285917E-3</v>
      </c>
      <c r="M22" s="1">
        <v>45742</v>
      </c>
      <c r="N22" s="2">
        <v>11402.1</v>
      </c>
      <c r="O22">
        <f t="shared" si="4"/>
        <v>-1.6723286519805592E-3</v>
      </c>
      <c r="P22">
        <f t="shared" si="14"/>
        <v>15.278976611965374</v>
      </c>
      <c r="Q22">
        <f t="shared" si="5"/>
        <v>-2.6375948981505757E-3</v>
      </c>
      <c r="S22" s="1">
        <v>45742</v>
      </c>
      <c r="T22">
        <v>764</v>
      </c>
      <c r="U22">
        <f t="shared" si="6"/>
        <v>-1.1451122468784398E-2</v>
      </c>
      <c r="V22">
        <f t="shared" si="15"/>
        <v>22.793010370791293</v>
      </c>
      <c r="W22">
        <f t="shared" si="7"/>
        <v>-1.3700476844228125E-2</v>
      </c>
      <c r="Y22" s="1">
        <v>45742</v>
      </c>
      <c r="Z22" s="2">
        <v>1599.45</v>
      </c>
      <c r="AA22" s="4">
        <f t="shared" si="8"/>
        <v>-1.780834535908379E-2</v>
      </c>
      <c r="AB22">
        <f t="shared" si="16"/>
        <v>19.944397211358602</v>
      </c>
      <c r="AC22">
        <f t="shared" si="9"/>
        <v>-1.6676799419438455E-2</v>
      </c>
      <c r="AE22">
        <f t="shared" si="10"/>
        <v>105.59450599621165</v>
      </c>
      <c r="AF22">
        <f t="shared" si="11"/>
        <v>-9.1136078117889374E-3</v>
      </c>
      <c r="AH22">
        <v>-3.2016803837399431E-2</v>
      </c>
      <c r="AI22">
        <v>-1.6696297587008135E-2</v>
      </c>
      <c r="AJ22">
        <v>3.2515260755422569E-2</v>
      </c>
      <c r="AK22">
        <v>-1.2431219129542001E-2</v>
      </c>
      <c r="AL22">
        <v>2.3545609665904979E-2</v>
      </c>
      <c r="AO22" s="21" t="s">
        <v>23</v>
      </c>
      <c r="AP22" s="22" t="s">
        <v>30</v>
      </c>
      <c r="AQ22" s="23" t="s">
        <v>25</v>
      </c>
      <c r="AR22" s="24" t="s">
        <v>28</v>
      </c>
      <c r="AS22" s="25" t="s">
        <v>29</v>
      </c>
    </row>
    <row r="23" spans="1:45" x14ac:dyDescent="0.3">
      <c r="A23" s="1">
        <v>45743</v>
      </c>
      <c r="B23">
        <v>959.9</v>
      </c>
      <c r="C23">
        <f t="shared" si="0"/>
        <v>5.2406534371231175E-2</v>
      </c>
      <c r="D23">
        <f t="shared" si="12"/>
        <v>20.102617801047113</v>
      </c>
      <c r="E23">
        <f t="shared" si="1"/>
        <v>5.1347858354169662E-2</v>
      </c>
      <c r="G23" s="1">
        <v>45743</v>
      </c>
      <c r="H23">
        <v>383.4</v>
      </c>
      <c r="I23">
        <f t="shared" si="2"/>
        <v>1.9680851063829725E-2</v>
      </c>
      <c r="J23">
        <f t="shared" si="13"/>
        <v>29.036993882901257</v>
      </c>
      <c r="K23">
        <f t="shared" si="3"/>
        <v>1.9159873069829646E-2</v>
      </c>
      <c r="M23" s="1">
        <v>45743</v>
      </c>
      <c r="N23" s="2">
        <v>11599.6</v>
      </c>
      <c r="O23">
        <f t="shared" si="4"/>
        <v>1.7321370624709481E-2</v>
      </c>
      <c r="P23">
        <f t="shared" si="14"/>
        <v>15.543629428627495</v>
      </c>
      <c r="Q23">
        <f t="shared" si="5"/>
        <v>1.6356104378539463E-2</v>
      </c>
      <c r="S23" s="1">
        <v>45743</v>
      </c>
      <c r="T23">
        <v>772.3</v>
      </c>
      <c r="U23">
        <f t="shared" si="6"/>
        <v>1.0863874345549678E-2</v>
      </c>
      <c r="V23">
        <f t="shared" si="15"/>
        <v>23.040630771416378</v>
      </c>
      <c r="W23">
        <f t="shared" si="7"/>
        <v>8.6145199701059515E-3</v>
      </c>
      <c r="Y23" s="1">
        <v>45743</v>
      </c>
      <c r="Z23" s="2">
        <v>1603.55</v>
      </c>
      <c r="AA23" s="4">
        <f t="shared" si="8"/>
        <v>2.5633811622744751E-3</v>
      </c>
      <c r="AB23">
        <f t="shared" si="16"/>
        <v>19.995522303463119</v>
      </c>
      <c r="AC23">
        <f t="shared" si="9"/>
        <v>3.6949271019198096E-3</v>
      </c>
      <c r="AE23">
        <f t="shared" si="10"/>
        <v>107.71939418745536</v>
      </c>
      <c r="AF23">
        <f t="shared" si="11"/>
        <v>2.0123094200752645E-2</v>
      </c>
      <c r="AH23">
        <v>-1.3296059599474289E-2</v>
      </c>
      <c r="AI23">
        <v>-3.4379761377285917E-3</v>
      </c>
      <c r="AJ23">
        <v>-2.6375948981505757E-3</v>
      </c>
      <c r="AK23">
        <v>-1.3700476844228125E-2</v>
      </c>
      <c r="AL23">
        <v>-1.6676799419438455E-2</v>
      </c>
      <c r="AN23" s="21" t="s">
        <v>23</v>
      </c>
      <c r="AO23" s="26" cm="1">
        <f t="array" ref="AO23:AS27">MMULT(TRANSPOSE(AH6:AL251),(AH6:AL251))</f>
        <v>0.17758510341212361</v>
      </c>
      <c r="AP23">
        <v>5.6430582616669965E-2</v>
      </c>
      <c r="AQ23">
        <v>2.7653896964581419E-2</v>
      </c>
      <c r="AR23">
        <v>3.0212928655145899E-2</v>
      </c>
      <c r="AS23">
        <v>1.5236879090652999E-2</v>
      </c>
    </row>
    <row r="24" spans="1:45" x14ac:dyDescent="0.3">
      <c r="A24" s="1">
        <v>45744</v>
      </c>
      <c r="B24">
        <v>948.65</v>
      </c>
      <c r="C24">
        <f t="shared" si="0"/>
        <v>-1.1719970830294822E-2</v>
      </c>
      <c r="D24">
        <f t="shared" si="12"/>
        <v>19.867015706806274</v>
      </c>
      <c r="E24">
        <f t="shared" si="1"/>
        <v>-1.2778646847356337E-2</v>
      </c>
      <c r="G24" s="1">
        <v>45744</v>
      </c>
      <c r="H24">
        <v>375.4</v>
      </c>
      <c r="I24">
        <f t="shared" si="2"/>
        <v>-2.0865936358894107E-2</v>
      </c>
      <c r="J24">
        <f t="shared" si="13"/>
        <v>28.431109816487041</v>
      </c>
      <c r="K24">
        <f t="shared" si="3"/>
        <v>-2.1386914352894186E-2</v>
      </c>
      <c r="M24" s="1">
        <v>45744</v>
      </c>
      <c r="N24" s="2">
        <v>11509.55</v>
      </c>
      <c r="O24">
        <f t="shared" si="4"/>
        <v>-7.763198730990818E-3</v>
      </c>
      <c r="P24">
        <f t="shared" si="14"/>
        <v>15.422961144372183</v>
      </c>
      <c r="Q24">
        <f t="shared" si="5"/>
        <v>-8.7284649771608349E-3</v>
      </c>
      <c r="S24" s="1">
        <v>45744</v>
      </c>
      <c r="T24">
        <v>771.5</v>
      </c>
      <c r="U24">
        <f t="shared" si="6"/>
        <v>-1.0358668911044343E-3</v>
      </c>
      <c r="V24">
        <f t="shared" si="15"/>
        <v>23.016763744850106</v>
      </c>
      <c r="W24">
        <f t="shared" si="7"/>
        <v>-3.2852212665481608E-3</v>
      </c>
      <c r="Y24" s="1">
        <v>45744</v>
      </c>
      <c r="Z24" s="2">
        <v>1570.65</v>
      </c>
      <c r="AA24" s="4">
        <f t="shared" si="8"/>
        <v>-2.05169779551619E-2</v>
      </c>
      <c r="AB24">
        <f t="shared" si="16"/>
        <v>19.585274613161015</v>
      </c>
      <c r="AC24">
        <f t="shared" si="9"/>
        <v>-1.9385432015516565E-2</v>
      </c>
      <c r="AE24">
        <f t="shared" si="10"/>
        <v>106.32312502567662</v>
      </c>
      <c r="AF24">
        <f t="shared" si="11"/>
        <v>-1.2962096308756887E-2</v>
      </c>
      <c r="AH24">
        <v>5.1347858354169662E-2</v>
      </c>
      <c r="AI24">
        <v>1.9159873069829646E-2</v>
      </c>
      <c r="AJ24">
        <v>1.6356104378539463E-2</v>
      </c>
      <c r="AK24">
        <v>8.6145199701059515E-3</v>
      </c>
      <c r="AL24">
        <v>3.6949271019198096E-3</v>
      </c>
      <c r="AN24" s="22" t="s">
        <v>30</v>
      </c>
      <c r="AO24" s="27">
        <v>5.6430582616669965E-2</v>
      </c>
      <c r="AP24" s="26">
        <v>4.6608907300409348E-2</v>
      </c>
      <c r="AQ24">
        <v>1.7445368799577095E-2</v>
      </c>
      <c r="AR24">
        <v>2.0684964567674675E-2</v>
      </c>
      <c r="AS24">
        <v>1.1355143711340391E-2</v>
      </c>
    </row>
    <row r="25" spans="1:45" x14ac:dyDescent="0.3">
      <c r="A25" s="1">
        <v>45748</v>
      </c>
      <c r="B25">
        <v>919.15</v>
      </c>
      <c r="C25">
        <f t="shared" si="0"/>
        <v>-3.1096821799399148E-2</v>
      </c>
      <c r="D25">
        <f t="shared" si="12"/>
        <v>19.249214659685858</v>
      </c>
      <c r="E25">
        <f t="shared" si="1"/>
        <v>-3.2155497816460661E-2</v>
      </c>
      <c r="G25" s="1">
        <v>45748</v>
      </c>
      <c r="H25">
        <v>374.75</v>
      </c>
      <c r="I25">
        <f t="shared" si="2"/>
        <v>-1.7314864144911488E-3</v>
      </c>
      <c r="J25">
        <f t="shared" si="13"/>
        <v>28.381881736090886</v>
      </c>
      <c r="K25">
        <f t="shared" si="3"/>
        <v>-2.2524644084912266E-3</v>
      </c>
      <c r="M25" s="1">
        <v>45748</v>
      </c>
      <c r="N25" s="2">
        <v>11378.65</v>
      </c>
      <c r="O25">
        <f t="shared" si="4"/>
        <v>-1.1373164024657753E-2</v>
      </c>
      <c r="P25">
        <f t="shared" si="14"/>
        <v>15.247553277531315</v>
      </c>
      <c r="Q25">
        <f t="shared" si="5"/>
        <v>-1.2338430270827769E-2</v>
      </c>
      <c r="S25" s="1">
        <v>45748</v>
      </c>
      <c r="T25">
        <v>771.7</v>
      </c>
      <c r="U25">
        <f t="shared" si="6"/>
        <v>2.5923525599487425E-4</v>
      </c>
      <c r="V25">
        <f t="shared" si="15"/>
        <v>23.022730501491676</v>
      </c>
      <c r="W25">
        <f t="shared" si="7"/>
        <v>-1.9901191194488525E-3</v>
      </c>
      <c r="Y25" s="1">
        <v>45748</v>
      </c>
      <c r="Z25" s="2">
        <v>1526.5</v>
      </c>
      <c r="AA25" s="4">
        <f t="shared" si="8"/>
        <v>-2.8109381466271982E-2</v>
      </c>
      <c r="AB25">
        <f t="shared" si="16"/>
        <v>19.034744657937981</v>
      </c>
      <c r="AC25">
        <f t="shared" si="9"/>
        <v>-2.6977835526626647E-2</v>
      </c>
      <c r="AE25">
        <f t="shared" si="10"/>
        <v>104.93612483273772</v>
      </c>
      <c r="AF25">
        <f t="shared" si="11"/>
        <v>-1.3045141333119625E-2</v>
      </c>
      <c r="AH25">
        <v>-1.2778646847356337E-2</v>
      </c>
      <c r="AI25">
        <v>-2.1386914352894186E-2</v>
      </c>
      <c r="AJ25">
        <v>-8.7284649771608349E-3</v>
      </c>
      <c r="AK25">
        <v>-3.2852212665481608E-3</v>
      </c>
      <c r="AL25">
        <v>-1.9385432015516565E-2</v>
      </c>
      <c r="AN25" s="23" t="s">
        <v>25</v>
      </c>
      <c r="AO25" s="27">
        <v>2.7653896964581419E-2</v>
      </c>
      <c r="AP25" s="27">
        <v>1.7445368799577095E-2</v>
      </c>
      <c r="AQ25" s="26">
        <v>3.1323002620287768E-2</v>
      </c>
      <c r="AR25">
        <v>1.2334955198070712E-2</v>
      </c>
      <c r="AS25">
        <v>5.8286599035977027E-3</v>
      </c>
    </row>
    <row r="26" spans="1:45" x14ac:dyDescent="0.3">
      <c r="A26" s="1">
        <v>45749</v>
      </c>
      <c r="B26">
        <v>943.05</v>
      </c>
      <c r="C26">
        <f t="shared" si="0"/>
        <v>2.6002284719577846E-2</v>
      </c>
      <c r="D26">
        <f t="shared" si="12"/>
        <v>19.749738219895281</v>
      </c>
      <c r="E26">
        <f t="shared" si="1"/>
        <v>2.4943608702516329E-2</v>
      </c>
      <c r="G26" s="1">
        <v>45749</v>
      </c>
      <c r="H26">
        <v>378.25</v>
      </c>
      <c r="I26">
        <f t="shared" si="2"/>
        <v>9.3395597064709814E-3</v>
      </c>
      <c r="J26">
        <f t="shared" si="13"/>
        <v>28.646956015147104</v>
      </c>
      <c r="K26">
        <f t="shared" si="3"/>
        <v>8.8185817124709041E-3</v>
      </c>
      <c r="M26" s="1">
        <v>45749</v>
      </c>
      <c r="N26" s="2">
        <v>11250.95</v>
      </c>
      <c r="O26">
        <f t="shared" si="4"/>
        <v>-1.1222772473008565E-2</v>
      </c>
      <c r="P26">
        <f t="shared" si="14"/>
        <v>15.076433456327505</v>
      </c>
      <c r="Q26">
        <f t="shared" si="5"/>
        <v>-1.2188038719178581E-2</v>
      </c>
      <c r="S26" s="1">
        <v>45749</v>
      </c>
      <c r="T26">
        <v>775.95</v>
      </c>
      <c r="U26">
        <f t="shared" si="6"/>
        <v>5.5073214979914475E-3</v>
      </c>
      <c r="V26">
        <f t="shared" si="15"/>
        <v>23.149524080125005</v>
      </c>
      <c r="W26">
        <f t="shared" si="7"/>
        <v>3.2579671225477207E-3</v>
      </c>
      <c r="Y26" s="1">
        <v>45749</v>
      </c>
      <c r="Z26" s="2">
        <v>1550.15</v>
      </c>
      <c r="AA26" s="4">
        <f t="shared" si="8"/>
        <v>1.5492957746478932E-2</v>
      </c>
      <c r="AB26">
        <f t="shared" si="16"/>
        <v>19.329649152638428</v>
      </c>
      <c r="AC26">
        <f t="shared" si="9"/>
        <v>1.6624503686124267E-2</v>
      </c>
      <c r="AE26">
        <f t="shared" si="10"/>
        <v>105.95230092413331</v>
      </c>
      <c r="AF26">
        <f t="shared" si="11"/>
        <v>9.6837585056177566E-3</v>
      </c>
      <c r="AH26">
        <v>-3.2155497816460661E-2</v>
      </c>
      <c r="AI26">
        <v>-2.2524644084912266E-3</v>
      </c>
      <c r="AJ26">
        <v>-1.2338430270827769E-2</v>
      </c>
      <c r="AK26">
        <v>-1.9901191194488525E-3</v>
      </c>
      <c r="AL26">
        <v>-2.6977835526626647E-2</v>
      </c>
      <c r="AN26" s="24" t="s">
        <v>28</v>
      </c>
      <c r="AO26" s="27">
        <v>3.0212928655145899E-2</v>
      </c>
      <c r="AP26" s="27">
        <v>2.0684964567674675E-2</v>
      </c>
      <c r="AQ26" s="27">
        <v>1.2334955198070712E-2</v>
      </c>
      <c r="AR26" s="26">
        <v>3.8733875313944427E-2</v>
      </c>
      <c r="AS26">
        <v>7.9483514156060611E-3</v>
      </c>
    </row>
    <row r="27" spans="1:45" x14ac:dyDescent="0.3">
      <c r="A27" s="1">
        <v>45750</v>
      </c>
      <c r="B27">
        <v>955.3</v>
      </c>
      <c r="C27">
        <f t="shared" si="0"/>
        <v>1.2989767244578761E-2</v>
      </c>
      <c r="D27">
        <f t="shared" si="12"/>
        <v>20.006282722513081</v>
      </c>
      <c r="E27">
        <f t="shared" si="1"/>
        <v>1.1931091227517246E-2</v>
      </c>
      <c r="G27" s="1">
        <v>45750</v>
      </c>
      <c r="H27">
        <v>385.65</v>
      </c>
      <c r="I27">
        <f t="shared" si="2"/>
        <v>1.9563780568407078E-2</v>
      </c>
      <c r="J27">
        <f t="shared" si="13"/>
        <v>29.207398776580249</v>
      </c>
      <c r="K27">
        <f t="shared" si="3"/>
        <v>1.9042802574406999E-2</v>
      </c>
      <c r="M27" s="1">
        <v>45750</v>
      </c>
      <c r="N27" s="2">
        <v>11606.6</v>
      </c>
      <c r="O27">
        <f t="shared" si="4"/>
        <v>3.1610663988374282E-2</v>
      </c>
      <c r="P27">
        <f t="shared" si="14"/>
        <v>15.553009528458556</v>
      </c>
      <c r="Q27">
        <f t="shared" si="5"/>
        <v>3.0645397742204265E-2</v>
      </c>
      <c r="S27" s="1">
        <v>45750</v>
      </c>
      <c r="T27">
        <v>779.2</v>
      </c>
      <c r="U27">
        <f t="shared" si="6"/>
        <v>4.1884142019460013E-3</v>
      </c>
      <c r="V27">
        <f t="shared" si="15"/>
        <v>23.246483875550489</v>
      </c>
      <c r="W27">
        <f t="shared" si="7"/>
        <v>1.9390598265022745E-3</v>
      </c>
      <c r="Y27" s="1">
        <v>45750</v>
      </c>
      <c r="Z27" s="2">
        <v>1496.5</v>
      </c>
      <c r="AA27" s="4">
        <f t="shared" si="8"/>
        <v>-3.4609553914137399E-2</v>
      </c>
      <c r="AB27">
        <f t="shared" si="16"/>
        <v>18.660658618148826</v>
      </c>
      <c r="AC27">
        <f t="shared" si="9"/>
        <v>-3.3478007974492068E-2</v>
      </c>
      <c r="AE27">
        <f t="shared" si="10"/>
        <v>106.6738335212512</v>
      </c>
      <c r="AF27">
        <f t="shared" si="11"/>
        <v>6.809975723269357E-3</v>
      </c>
      <c r="AH27">
        <v>2.4943608702516329E-2</v>
      </c>
      <c r="AI27">
        <v>8.8185817124709041E-3</v>
      </c>
      <c r="AJ27">
        <v>-1.2188038719178581E-2</v>
      </c>
      <c r="AK27">
        <v>3.2579671225477207E-3</v>
      </c>
      <c r="AL27">
        <v>1.6624503686124267E-2</v>
      </c>
      <c r="AN27" s="25" t="s">
        <v>29</v>
      </c>
      <c r="AO27" s="27">
        <v>1.5236879090652999E-2</v>
      </c>
      <c r="AP27" s="27">
        <v>1.1355143711340391E-2</v>
      </c>
      <c r="AQ27" s="27">
        <v>5.8286599035977027E-3</v>
      </c>
      <c r="AR27" s="27">
        <v>7.9483514156060611E-3</v>
      </c>
      <c r="AS27" s="26">
        <v>6.8912917086221395E-2</v>
      </c>
    </row>
    <row r="28" spans="1:45" x14ac:dyDescent="0.3">
      <c r="A28" s="1">
        <v>45751</v>
      </c>
      <c r="B28">
        <v>923.8</v>
      </c>
      <c r="C28">
        <f t="shared" si="0"/>
        <v>-3.2973934889563489E-2</v>
      </c>
      <c r="D28">
        <f t="shared" si="12"/>
        <v>19.346596858638737</v>
      </c>
      <c r="E28">
        <f t="shared" si="1"/>
        <v>-3.4032610906625002E-2</v>
      </c>
      <c r="G28" s="1">
        <v>45751</v>
      </c>
      <c r="H28">
        <v>368.95</v>
      </c>
      <c r="I28">
        <f t="shared" si="2"/>
        <v>-4.3303513548554363E-2</v>
      </c>
      <c r="J28">
        <f t="shared" si="13"/>
        <v>27.942615787940575</v>
      </c>
      <c r="K28">
        <f t="shared" si="3"/>
        <v>-4.3824491542554439E-2</v>
      </c>
      <c r="M28" s="1">
        <v>45751</v>
      </c>
      <c r="N28" s="2">
        <v>11498.65</v>
      </c>
      <c r="O28">
        <f t="shared" si="4"/>
        <v>-9.3007426808885216E-3</v>
      </c>
      <c r="P28">
        <f t="shared" si="14"/>
        <v>15.408354988920955</v>
      </c>
      <c r="Q28">
        <f t="shared" si="5"/>
        <v>-1.0266008927058538E-2</v>
      </c>
      <c r="S28" s="1">
        <v>45751</v>
      </c>
      <c r="T28">
        <v>767.45</v>
      </c>
      <c r="U28">
        <f t="shared" si="6"/>
        <v>-1.5079568788501026E-2</v>
      </c>
      <c r="V28">
        <f t="shared" si="15"/>
        <v>22.895936922858343</v>
      </c>
      <c r="W28">
        <f t="shared" si="7"/>
        <v>-1.7328923163944753E-2</v>
      </c>
      <c r="Y28" s="1">
        <v>45751</v>
      </c>
      <c r="Z28" s="2">
        <v>1451.65</v>
      </c>
      <c r="AA28" s="4">
        <f t="shared" si="8"/>
        <v>-2.9969929836284603E-2</v>
      </c>
      <c r="AB28">
        <f t="shared" si="16"/>
        <v>18.101399988664046</v>
      </c>
      <c r="AC28">
        <f t="shared" si="9"/>
        <v>-2.8838383896639268E-2</v>
      </c>
      <c r="AE28">
        <f t="shared" si="10"/>
        <v>103.69490454702266</v>
      </c>
      <c r="AF28">
        <f t="shared" si="11"/>
        <v>-2.7925582834098517E-2</v>
      </c>
      <c r="AH28">
        <v>1.1931091227517246E-2</v>
      </c>
      <c r="AI28">
        <v>1.9042802574406999E-2</v>
      </c>
      <c r="AJ28">
        <v>3.0645397742204265E-2</v>
      </c>
      <c r="AK28">
        <v>1.9390598265022745E-3</v>
      </c>
      <c r="AL28">
        <v>-3.3478007974492068E-2</v>
      </c>
    </row>
    <row r="29" spans="1:45" x14ac:dyDescent="0.3">
      <c r="A29" s="1">
        <v>45754</v>
      </c>
      <c r="B29">
        <v>873.3</v>
      </c>
      <c r="C29">
        <f t="shared" si="0"/>
        <v>-5.4665512015587794E-2</v>
      </c>
      <c r="D29">
        <f t="shared" si="12"/>
        <v>18.289005235602087</v>
      </c>
      <c r="E29">
        <f t="shared" si="1"/>
        <v>-5.5724188032649308E-2</v>
      </c>
      <c r="G29" s="1">
        <v>45754</v>
      </c>
      <c r="H29">
        <v>354.85</v>
      </c>
      <c r="I29">
        <f t="shared" si="2"/>
        <v>-3.8216560509554048E-2</v>
      </c>
      <c r="J29">
        <f t="shared" si="13"/>
        <v>26.874745120885525</v>
      </c>
      <c r="K29">
        <f t="shared" si="3"/>
        <v>-3.8737538503554124E-2</v>
      </c>
      <c r="M29" s="1">
        <v>45754</v>
      </c>
      <c r="N29" s="2">
        <v>11191.6</v>
      </c>
      <c r="O29">
        <f t="shared" si="4"/>
        <v>-2.6703134715814404E-2</v>
      </c>
      <c r="P29">
        <f t="shared" si="14"/>
        <v>14.996903609902708</v>
      </c>
      <c r="Q29">
        <f t="shared" si="5"/>
        <v>-2.7668400961984422E-2</v>
      </c>
      <c r="S29" s="1">
        <v>45754</v>
      </c>
      <c r="T29">
        <v>746.9</v>
      </c>
      <c r="U29">
        <f t="shared" si="6"/>
        <v>-2.6776988728907509E-2</v>
      </c>
      <c r="V29">
        <f t="shared" si="15"/>
        <v>22.282852677937186</v>
      </c>
      <c r="W29">
        <f t="shared" si="7"/>
        <v>-2.9026343104351236E-2</v>
      </c>
      <c r="Y29" s="1">
        <v>45754</v>
      </c>
      <c r="Z29" s="2">
        <v>1396.75</v>
      </c>
      <c r="AA29" s="4">
        <f t="shared" si="8"/>
        <v>-3.7819033513588049E-2</v>
      </c>
      <c r="AB29">
        <f t="shared" si="16"/>
        <v>17.416822535849896</v>
      </c>
      <c r="AC29">
        <f t="shared" si="9"/>
        <v>-3.6687487573942718E-2</v>
      </c>
      <c r="AE29">
        <f t="shared" si="10"/>
        <v>99.860329180177402</v>
      </c>
      <c r="AF29">
        <f t="shared" si="11"/>
        <v>-3.6979400131530893E-2</v>
      </c>
      <c r="AH29">
        <v>-3.4032610906625002E-2</v>
      </c>
      <c r="AI29">
        <v>-4.3824491542554439E-2</v>
      </c>
      <c r="AJ29">
        <v>-1.0266008927058538E-2</v>
      </c>
      <c r="AK29">
        <v>-1.7328923163944753E-2</v>
      </c>
      <c r="AL29">
        <v>-2.8838383896639268E-2</v>
      </c>
      <c r="AN29" s="13" t="s">
        <v>32</v>
      </c>
    </row>
    <row r="30" spans="1:45" x14ac:dyDescent="0.3">
      <c r="A30" s="1">
        <v>45755</v>
      </c>
      <c r="B30">
        <v>875.8</v>
      </c>
      <c r="C30">
        <f t="shared" si="0"/>
        <v>2.8627046833848624E-3</v>
      </c>
      <c r="D30">
        <f t="shared" si="12"/>
        <v>18.341361256544495</v>
      </c>
      <c r="E30">
        <f t="shared" si="1"/>
        <v>1.8040286663233472E-3</v>
      </c>
      <c r="G30" s="1">
        <v>45755</v>
      </c>
      <c r="H30">
        <v>359.7</v>
      </c>
      <c r="I30">
        <f t="shared" si="2"/>
        <v>1.3667746935324689E-2</v>
      </c>
      <c r="J30">
        <f t="shared" si="13"/>
        <v>27.242062336149143</v>
      </c>
      <c r="K30">
        <f t="shared" si="3"/>
        <v>1.3146768941324612E-2</v>
      </c>
      <c r="M30" s="1">
        <v>45755</v>
      </c>
      <c r="N30" s="2">
        <v>11270.45</v>
      </c>
      <c r="O30">
        <f t="shared" si="4"/>
        <v>7.0454626684299257E-3</v>
      </c>
      <c r="P30">
        <f t="shared" si="14"/>
        <v>15.102563734428319</v>
      </c>
      <c r="Q30">
        <f t="shared" si="5"/>
        <v>6.0801964222599097E-3</v>
      </c>
      <c r="S30" s="1">
        <v>45755</v>
      </c>
      <c r="T30">
        <v>768.6</v>
      </c>
      <c r="U30">
        <f t="shared" si="6"/>
        <v>2.9053420805998188E-2</v>
      </c>
      <c r="V30">
        <f t="shared" si="15"/>
        <v>22.930245773547359</v>
      </c>
      <c r="W30">
        <f t="shared" si="7"/>
        <v>2.6804066430554462E-2</v>
      </c>
      <c r="Y30" s="1">
        <v>45755</v>
      </c>
      <c r="Z30" s="2">
        <v>1428.8</v>
      </c>
      <c r="AA30" s="4">
        <f t="shared" si="8"/>
        <v>2.2946124932879869E-2</v>
      </c>
      <c r="AB30">
        <f t="shared" si="16"/>
        <v>17.816471121691308</v>
      </c>
      <c r="AC30">
        <f t="shared" si="9"/>
        <v>2.4077670872525204E-2</v>
      </c>
      <c r="AE30">
        <f t="shared" si="10"/>
        <v>101.43270422236063</v>
      </c>
      <c r="AF30">
        <f t="shared" si="11"/>
        <v>1.5745742629650339E-2</v>
      </c>
      <c r="AH30">
        <v>-5.5724188032649308E-2</v>
      </c>
      <c r="AI30">
        <v>-3.8737538503554124E-2</v>
      </c>
      <c r="AJ30">
        <v>-2.7668400961984422E-2</v>
      </c>
      <c r="AK30">
        <v>-2.9026343104351236E-2</v>
      </c>
      <c r="AL30">
        <v>-3.6687487573942718E-2</v>
      </c>
      <c r="AO30" s="21" t="s">
        <v>23</v>
      </c>
      <c r="AP30" s="22" t="s">
        <v>30</v>
      </c>
      <c r="AQ30" s="23" t="s">
        <v>25</v>
      </c>
      <c r="AR30" s="24" t="s">
        <v>28</v>
      </c>
      <c r="AS30" s="25" t="s">
        <v>29</v>
      </c>
    </row>
    <row r="31" spans="1:45" x14ac:dyDescent="0.3">
      <c r="A31" s="1">
        <v>45756</v>
      </c>
      <c r="B31">
        <v>860.75</v>
      </c>
      <c r="C31">
        <f t="shared" si="0"/>
        <v>-1.7184288650376748E-2</v>
      </c>
      <c r="D31">
        <f t="shared" si="12"/>
        <v>18.026178010471195</v>
      </c>
      <c r="E31">
        <f t="shared" si="1"/>
        <v>-1.8242964667438265E-2</v>
      </c>
      <c r="G31" s="1">
        <v>45756</v>
      </c>
      <c r="H31">
        <v>358.25</v>
      </c>
      <c r="I31">
        <f t="shared" si="2"/>
        <v>-4.0311370586599629E-3</v>
      </c>
      <c r="J31">
        <f t="shared" si="13"/>
        <v>27.132245849111566</v>
      </c>
      <c r="K31">
        <f t="shared" si="3"/>
        <v>-4.5521150526600402E-3</v>
      </c>
      <c r="M31" s="1">
        <v>45756</v>
      </c>
      <c r="N31" s="2">
        <v>11397.05</v>
      </c>
      <c r="O31">
        <f t="shared" si="4"/>
        <v>1.1232914391173248E-2</v>
      </c>
      <c r="P31">
        <f t="shared" si="14"/>
        <v>15.272209539944392</v>
      </c>
      <c r="Q31">
        <f t="shared" si="5"/>
        <v>1.0267648145003232E-2</v>
      </c>
      <c r="S31" s="1">
        <v>45756</v>
      </c>
      <c r="T31">
        <v>742.2</v>
      </c>
      <c r="U31">
        <f t="shared" si="6"/>
        <v>-3.4348165495706448E-2</v>
      </c>
      <c r="V31">
        <f t="shared" si="15"/>
        <v>22.142633896860332</v>
      </c>
      <c r="W31">
        <f t="shared" si="7"/>
        <v>-3.6597519871150175E-2</v>
      </c>
      <c r="Y31" s="1">
        <v>45756</v>
      </c>
      <c r="Z31" s="2">
        <v>1403.7</v>
      </c>
      <c r="AA31" s="4">
        <f t="shared" si="8"/>
        <v>-1.7567189249719981E-2</v>
      </c>
      <c r="AB31">
        <f t="shared" si="16"/>
        <v>17.503485801734385</v>
      </c>
      <c r="AC31">
        <f t="shared" si="9"/>
        <v>-1.6435643310074646E-2</v>
      </c>
      <c r="AE31">
        <f t="shared" si="10"/>
        <v>100.07675309812187</v>
      </c>
      <c r="AF31">
        <f t="shared" si="11"/>
        <v>-1.3367987520733426E-2</v>
      </c>
      <c r="AH31">
        <v>1.8040286663233472E-3</v>
      </c>
      <c r="AI31">
        <v>1.3146768941324612E-2</v>
      </c>
      <c r="AJ31">
        <v>6.0801964222599097E-3</v>
      </c>
      <c r="AK31">
        <v>2.6804066430554462E-2</v>
      </c>
      <c r="AL31">
        <v>2.4077670872525204E-2</v>
      </c>
      <c r="AN31" s="21" t="s">
        <v>23</v>
      </c>
      <c r="AO31" s="26" cm="1">
        <f t="array" ref="AO31:AS35">_xlfn.ANCHORARRAY(AO23)/246</f>
        <v>7.2189066427692523E-4</v>
      </c>
      <c r="AP31" s="17">
        <v>2.2939261226288604E-4</v>
      </c>
      <c r="AQ31" s="17">
        <v>1.124142153031765E-4</v>
      </c>
      <c r="AR31" s="17">
        <v>1.228167831509996E-4</v>
      </c>
      <c r="AS31" s="17">
        <v>6.1938532888833323E-5</v>
      </c>
    </row>
    <row r="32" spans="1:45" x14ac:dyDescent="0.3">
      <c r="A32" s="1">
        <v>45758</v>
      </c>
      <c r="B32">
        <v>893.65</v>
      </c>
      <c r="C32">
        <f t="shared" si="0"/>
        <v>3.8222480395004331E-2</v>
      </c>
      <c r="D32">
        <f t="shared" si="12"/>
        <v>18.715183246073291</v>
      </c>
      <c r="E32">
        <f t="shared" si="1"/>
        <v>3.7163804377942818E-2</v>
      </c>
      <c r="G32" s="1">
        <v>45758</v>
      </c>
      <c r="H32">
        <v>364.45</v>
      </c>
      <c r="I32">
        <f t="shared" si="2"/>
        <v>1.7306350314026487E-2</v>
      </c>
      <c r="J32">
        <f t="shared" si="13"/>
        <v>27.601806000582581</v>
      </c>
      <c r="K32">
        <f t="shared" si="3"/>
        <v>1.6785372320026408E-2</v>
      </c>
      <c r="M32" s="1">
        <v>45758</v>
      </c>
      <c r="N32" s="2">
        <v>11502.65</v>
      </c>
      <c r="O32">
        <f t="shared" si="4"/>
        <v>9.2655555604301432E-3</v>
      </c>
      <c r="P32">
        <f t="shared" si="14"/>
        <v>15.413715045967278</v>
      </c>
      <c r="Q32">
        <f t="shared" si="5"/>
        <v>8.3002893142601272E-3</v>
      </c>
      <c r="S32" s="1">
        <v>45758</v>
      </c>
      <c r="T32">
        <v>753.85</v>
      </c>
      <c r="U32">
        <f t="shared" si="6"/>
        <v>1.5696577741848527E-2</v>
      </c>
      <c r="V32">
        <f t="shared" si="15"/>
        <v>22.490197471231689</v>
      </c>
      <c r="W32">
        <f t="shared" si="7"/>
        <v>1.34472233664048E-2</v>
      </c>
      <c r="Y32" s="1">
        <v>45758</v>
      </c>
      <c r="Z32" s="2">
        <v>1409.45</v>
      </c>
      <c r="AA32" s="4">
        <f t="shared" si="8"/>
        <v>4.0963168768255323E-3</v>
      </c>
      <c r="AB32">
        <f t="shared" si="16"/>
        <v>17.575185626027306</v>
      </c>
      <c r="AC32">
        <f t="shared" si="9"/>
        <v>5.2278628164708664E-3</v>
      </c>
      <c r="AE32">
        <f t="shared" si="10"/>
        <v>101.79608738988215</v>
      </c>
      <c r="AF32">
        <f t="shared" si="11"/>
        <v>1.7180156615138387E-2</v>
      </c>
      <c r="AH32">
        <v>-1.8242964667438265E-2</v>
      </c>
      <c r="AI32">
        <v>-4.5521150526600402E-3</v>
      </c>
      <c r="AJ32">
        <v>1.0267648145003232E-2</v>
      </c>
      <c r="AK32">
        <v>-3.6597519871150175E-2</v>
      </c>
      <c r="AL32">
        <v>-1.6435643310074646E-2</v>
      </c>
      <c r="AN32" s="22" t="s">
        <v>30</v>
      </c>
      <c r="AO32" s="27">
        <v>2.2939261226288604E-4</v>
      </c>
      <c r="AP32" s="26">
        <v>1.8946710284719248E-4</v>
      </c>
      <c r="AQ32" s="17">
        <v>7.0916133331614206E-5</v>
      </c>
      <c r="AR32" s="17">
        <v>8.4085221819815749E-5</v>
      </c>
      <c r="AS32" s="17">
        <v>4.6159120777806467E-5</v>
      </c>
    </row>
    <row r="33" spans="1:48" x14ac:dyDescent="0.3">
      <c r="A33" s="1">
        <v>45762</v>
      </c>
      <c r="B33">
        <v>936.65</v>
      </c>
      <c r="C33">
        <f t="shared" si="0"/>
        <v>4.8117271862586027E-2</v>
      </c>
      <c r="D33">
        <f t="shared" si="12"/>
        <v>19.615706806282713</v>
      </c>
      <c r="E33">
        <f t="shared" si="1"/>
        <v>4.7058595845524513E-2</v>
      </c>
      <c r="G33" s="1">
        <v>45762</v>
      </c>
      <c r="H33">
        <v>378.5</v>
      </c>
      <c r="I33">
        <f t="shared" si="2"/>
        <v>3.8551241596926911E-2</v>
      </c>
      <c r="J33">
        <f t="shared" si="13"/>
        <v>28.665889892222548</v>
      </c>
      <c r="K33">
        <f t="shared" si="3"/>
        <v>3.8030263602926835E-2</v>
      </c>
      <c r="M33" s="1">
        <v>45762</v>
      </c>
      <c r="N33" s="2">
        <v>11719</v>
      </c>
      <c r="O33">
        <f t="shared" si="4"/>
        <v>1.8808709297422802E-2</v>
      </c>
      <c r="P33">
        <f t="shared" si="14"/>
        <v>15.703627131460188</v>
      </c>
      <c r="Q33">
        <f t="shared" si="5"/>
        <v>1.7843443051252784E-2</v>
      </c>
      <c r="S33" s="1">
        <v>45762</v>
      </c>
      <c r="T33">
        <v>763.5</v>
      </c>
      <c r="U33">
        <f t="shared" si="6"/>
        <v>1.2800955097167841E-2</v>
      </c>
      <c r="V33">
        <f t="shared" si="15"/>
        <v>22.778093479187365</v>
      </c>
      <c r="W33">
        <f t="shared" si="7"/>
        <v>1.0551600721724114E-2</v>
      </c>
      <c r="Y33" s="1">
        <v>45762</v>
      </c>
      <c r="Z33" s="2">
        <v>1426</v>
      </c>
      <c r="AA33" s="4">
        <f t="shared" si="8"/>
        <v>1.1742168931143321E-2</v>
      </c>
      <c r="AB33">
        <f t="shared" si="16"/>
        <v>17.781556424644318</v>
      </c>
      <c r="AC33">
        <f t="shared" si="9"/>
        <v>1.2873714870788656E-2</v>
      </c>
      <c r="AE33">
        <f t="shared" si="10"/>
        <v>104.54487373379713</v>
      </c>
      <c r="AF33">
        <f t="shared" si="11"/>
        <v>2.7002868326235774E-2</v>
      </c>
      <c r="AH33">
        <v>3.7163804377942818E-2</v>
      </c>
      <c r="AI33">
        <v>1.6785372320026408E-2</v>
      </c>
      <c r="AJ33">
        <v>8.3002893142601272E-3</v>
      </c>
      <c r="AK33">
        <v>1.34472233664048E-2</v>
      </c>
      <c r="AL33">
        <v>5.2278628164708664E-3</v>
      </c>
      <c r="AN33" s="23" t="s">
        <v>25</v>
      </c>
      <c r="AO33" s="27">
        <v>1.124142153031765E-4</v>
      </c>
      <c r="AP33" s="27">
        <v>7.0916133331614206E-5</v>
      </c>
      <c r="AQ33" s="26">
        <v>1.2732927894425921E-4</v>
      </c>
      <c r="AR33" s="17">
        <v>5.0142094301100459E-5</v>
      </c>
      <c r="AS33" s="17">
        <v>2.3693739445519117E-5</v>
      </c>
    </row>
    <row r="34" spans="1:48" x14ac:dyDescent="0.3">
      <c r="A34" s="1">
        <v>45763</v>
      </c>
      <c r="B34">
        <v>945.6</v>
      </c>
      <c r="C34">
        <f t="shared" si="0"/>
        <v>9.5553301660172372E-3</v>
      </c>
      <c r="D34">
        <f t="shared" si="12"/>
        <v>19.803141361256536</v>
      </c>
      <c r="E34">
        <f t="shared" si="1"/>
        <v>8.4966541489557221E-3</v>
      </c>
      <c r="G34" s="1">
        <v>45763</v>
      </c>
      <c r="H34">
        <v>381.25</v>
      </c>
      <c r="I34">
        <f t="shared" si="2"/>
        <v>7.2655217965653896E-3</v>
      </c>
      <c r="J34">
        <f t="shared" si="13"/>
        <v>28.874162540052435</v>
      </c>
      <c r="K34">
        <f t="shared" si="3"/>
        <v>6.7445438025653115E-3</v>
      </c>
      <c r="M34" s="1">
        <v>45763</v>
      </c>
      <c r="N34" s="2">
        <v>11728</v>
      </c>
      <c r="O34">
        <f t="shared" si="4"/>
        <v>7.6798361634951783E-4</v>
      </c>
      <c r="P34">
        <f t="shared" si="14"/>
        <v>15.715687259814409</v>
      </c>
      <c r="Q34">
        <f t="shared" si="5"/>
        <v>-1.9728262982049839E-4</v>
      </c>
      <c r="S34" s="1">
        <v>45763</v>
      </c>
      <c r="T34">
        <v>771.75</v>
      </c>
      <c r="U34">
        <f t="shared" si="6"/>
        <v>1.0805500982318271E-2</v>
      </c>
      <c r="V34">
        <f t="shared" si="15"/>
        <v>23.024222190652061</v>
      </c>
      <c r="W34">
        <f t="shared" si="7"/>
        <v>8.5561466068745443E-3</v>
      </c>
      <c r="Y34" s="1">
        <v>45763</v>
      </c>
      <c r="Z34" s="2">
        <v>1413.1</v>
      </c>
      <c r="AA34" s="4">
        <f t="shared" si="8"/>
        <v>-9.0462833099579885E-3</v>
      </c>
      <c r="AB34">
        <f t="shared" si="16"/>
        <v>17.620699427534984</v>
      </c>
      <c r="AC34">
        <f t="shared" si="9"/>
        <v>-7.9147373703126536E-3</v>
      </c>
      <c r="AE34">
        <f t="shared" si="10"/>
        <v>105.03791277931042</v>
      </c>
      <c r="AF34">
        <f t="shared" si="11"/>
        <v>4.7160518531852436E-3</v>
      </c>
      <c r="AH34">
        <v>4.7058595845524513E-2</v>
      </c>
      <c r="AI34">
        <v>3.8030263602926835E-2</v>
      </c>
      <c r="AJ34">
        <v>1.7843443051252784E-2</v>
      </c>
      <c r="AK34">
        <v>1.0551600721724114E-2</v>
      </c>
      <c r="AL34">
        <v>1.2873714870788656E-2</v>
      </c>
      <c r="AN34" s="24" t="s">
        <v>28</v>
      </c>
      <c r="AO34" s="27">
        <v>1.228167831509996E-4</v>
      </c>
      <c r="AP34" s="27">
        <v>8.4085221819815749E-5</v>
      </c>
      <c r="AQ34" s="27">
        <v>5.0142094301100459E-5</v>
      </c>
      <c r="AR34" s="26">
        <v>1.574547776989611E-4</v>
      </c>
      <c r="AS34" s="17">
        <v>3.2310371608154717E-5</v>
      </c>
    </row>
    <row r="35" spans="1:48" x14ac:dyDescent="0.3">
      <c r="A35" s="1">
        <v>45764</v>
      </c>
      <c r="B35">
        <v>947.15</v>
      </c>
      <c r="C35">
        <f t="shared" si="0"/>
        <v>1.6391708967850619E-3</v>
      </c>
      <c r="D35">
        <f t="shared" si="12"/>
        <v>19.83560209424083</v>
      </c>
      <c r="E35">
        <f t="shared" si="1"/>
        <v>5.8049487972354681E-4</v>
      </c>
      <c r="G35" s="1">
        <v>45764</v>
      </c>
      <c r="H35">
        <v>381.7</v>
      </c>
      <c r="I35">
        <f t="shared" si="2"/>
        <v>1.1803278688524291E-3</v>
      </c>
      <c r="J35">
        <f t="shared" si="13"/>
        <v>28.908243518788236</v>
      </c>
      <c r="K35">
        <f t="shared" si="3"/>
        <v>6.5934987485235142E-4</v>
      </c>
      <c r="M35" s="1">
        <v>45764</v>
      </c>
      <c r="N35" s="2">
        <v>11901</v>
      </c>
      <c r="O35">
        <f t="shared" si="4"/>
        <v>1.4751023192360165E-2</v>
      </c>
      <c r="P35">
        <f t="shared" si="14"/>
        <v>15.947509727067811</v>
      </c>
      <c r="Q35">
        <f t="shared" si="5"/>
        <v>1.3785756946190149E-2</v>
      </c>
      <c r="S35" s="1">
        <v>45764</v>
      </c>
      <c r="T35">
        <v>797.45</v>
      </c>
      <c r="U35">
        <f t="shared" si="6"/>
        <v>3.3300939423388465E-2</v>
      </c>
      <c r="V35">
        <f t="shared" si="15"/>
        <v>23.790950419093605</v>
      </c>
      <c r="W35">
        <f t="shared" si="7"/>
        <v>3.1051585047944738E-2</v>
      </c>
      <c r="Y35" s="1">
        <v>45764</v>
      </c>
      <c r="Z35" s="2">
        <v>1419.5</v>
      </c>
      <c r="AA35" s="4">
        <f t="shared" si="8"/>
        <v>4.5290496072465441E-3</v>
      </c>
      <c r="AB35">
        <f t="shared" si="16"/>
        <v>17.700504449356671</v>
      </c>
      <c r="AC35">
        <f t="shared" si="9"/>
        <v>5.6605955468918782E-3</v>
      </c>
      <c r="AE35">
        <f t="shared" si="10"/>
        <v>106.18281020854715</v>
      </c>
      <c r="AF35">
        <f t="shared" si="11"/>
        <v>1.0899849387165705E-2</v>
      </c>
      <c r="AH35">
        <v>8.4966541489557221E-3</v>
      </c>
      <c r="AI35">
        <v>6.7445438025653115E-3</v>
      </c>
      <c r="AJ35">
        <v>-1.9728262982049839E-4</v>
      </c>
      <c r="AK35">
        <v>8.5561466068745443E-3</v>
      </c>
      <c r="AL35">
        <v>-7.9147373703126536E-3</v>
      </c>
      <c r="AN35" s="25" t="s">
        <v>29</v>
      </c>
      <c r="AO35" s="27">
        <v>6.1938532888833323E-5</v>
      </c>
      <c r="AP35" s="27">
        <v>4.6159120777806467E-5</v>
      </c>
      <c r="AQ35" s="27">
        <v>2.3693739445519117E-5</v>
      </c>
      <c r="AR35" s="27">
        <v>3.2310371608154717E-5</v>
      </c>
      <c r="AS35" s="26">
        <v>2.801338092935829E-4</v>
      </c>
    </row>
    <row r="36" spans="1:48" x14ac:dyDescent="0.3">
      <c r="A36" s="1">
        <v>45768</v>
      </c>
      <c r="B36">
        <v>956.25</v>
      </c>
      <c r="C36">
        <f t="shared" si="0"/>
        <v>9.607770680462464E-3</v>
      </c>
      <c r="D36">
        <f t="shared" si="12"/>
        <v>20.026178010471199</v>
      </c>
      <c r="E36">
        <f t="shared" si="1"/>
        <v>8.5490946634009489E-3</v>
      </c>
      <c r="G36" s="1">
        <v>45768</v>
      </c>
      <c r="H36">
        <v>390.85</v>
      </c>
      <c r="I36">
        <f t="shared" si="2"/>
        <v>2.3971705527901583E-2</v>
      </c>
      <c r="J36">
        <f t="shared" si="13"/>
        <v>29.601223419749498</v>
      </c>
      <c r="K36">
        <f t="shared" si="3"/>
        <v>2.3450727533901504E-2</v>
      </c>
      <c r="M36" s="1">
        <v>45768</v>
      </c>
      <c r="N36" s="2">
        <v>11934</v>
      </c>
      <c r="O36">
        <f t="shared" si="4"/>
        <v>2.7728762288883285E-3</v>
      </c>
      <c r="P36">
        <f t="shared" si="14"/>
        <v>15.991730197699962</v>
      </c>
      <c r="Q36">
        <f t="shared" si="5"/>
        <v>1.8076099827183123E-3</v>
      </c>
      <c r="S36" s="1">
        <v>45768</v>
      </c>
      <c r="T36">
        <v>816.7</v>
      </c>
      <c r="U36">
        <f t="shared" si="6"/>
        <v>2.4139444479277697E-2</v>
      </c>
      <c r="V36">
        <f t="shared" si="15"/>
        <v>24.365250745844563</v>
      </c>
      <c r="W36">
        <f t="shared" si="7"/>
        <v>2.189009010383397E-2</v>
      </c>
      <c r="Y36" s="1">
        <v>45768</v>
      </c>
      <c r="Z36" s="2">
        <v>1451</v>
      </c>
      <c r="AA36" s="4">
        <f t="shared" si="8"/>
        <v>2.2190912293060937E-2</v>
      </c>
      <c r="AB36">
        <f t="shared" si="16"/>
        <v>18.093294791135282</v>
      </c>
      <c r="AC36">
        <f t="shared" si="9"/>
        <v>2.3322458232706272E-2</v>
      </c>
      <c r="AE36">
        <f t="shared" si="10"/>
        <v>108.07767716490051</v>
      </c>
      <c r="AF36">
        <f t="shared" si="11"/>
        <v>1.7845326871946288E-2</v>
      </c>
      <c r="AH36">
        <v>5.8049487972354681E-4</v>
      </c>
      <c r="AI36">
        <v>6.5934987485235142E-4</v>
      </c>
      <c r="AJ36">
        <v>1.3785756946190149E-2</v>
      </c>
      <c r="AK36">
        <v>3.1051585047944738E-2</v>
      </c>
      <c r="AL36">
        <v>5.6605955468918782E-3</v>
      </c>
    </row>
    <row r="37" spans="1:48" x14ac:dyDescent="0.3">
      <c r="A37" s="1">
        <v>45769</v>
      </c>
      <c r="B37">
        <v>943.3</v>
      </c>
      <c r="C37">
        <f t="shared" si="0"/>
        <v>-1.3542483660130767E-2</v>
      </c>
      <c r="D37">
        <f t="shared" si="12"/>
        <v>19.754973821989523</v>
      </c>
      <c r="E37">
        <f t="shared" si="1"/>
        <v>-1.4601159677192282E-2</v>
      </c>
      <c r="G37" s="1">
        <v>45769</v>
      </c>
      <c r="H37">
        <v>388.6</v>
      </c>
      <c r="I37">
        <f t="shared" si="2"/>
        <v>-5.7566841499296405E-3</v>
      </c>
      <c r="J37">
        <f t="shared" si="13"/>
        <v>29.4308185260705</v>
      </c>
      <c r="K37">
        <f t="shared" si="3"/>
        <v>-6.2776621439297187E-3</v>
      </c>
      <c r="M37" s="1">
        <v>45769</v>
      </c>
      <c r="N37" s="2">
        <v>11959</v>
      </c>
      <c r="O37">
        <f t="shared" si="4"/>
        <v>2.0948550360315064E-3</v>
      </c>
      <c r="P37">
        <f t="shared" si="14"/>
        <v>16.025230554239471</v>
      </c>
      <c r="Q37">
        <f t="shared" si="5"/>
        <v>1.1295887898614902E-3</v>
      </c>
      <c r="S37" s="1">
        <v>45769</v>
      </c>
      <c r="T37">
        <v>822.4</v>
      </c>
      <c r="U37">
        <f t="shared" si="6"/>
        <v>6.979306967062485E-3</v>
      </c>
      <c r="V37">
        <f t="shared" si="15"/>
        <v>24.535303310129262</v>
      </c>
      <c r="W37">
        <f t="shared" si="7"/>
        <v>4.7299525916187583E-3</v>
      </c>
      <c r="Y37" s="1">
        <v>45769</v>
      </c>
      <c r="Z37" s="2">
        <v>1422.8</v>
      </c>
      <c r="AA37" s="4">
        <f t="shared" si="8"/>
        <v>-1.9434872501722981E-2</v>
      </c>
      <c r="AB37">
        <f t="shared" si="16"/>
        <v>17.741653913733479</v>
      </c>
      <c r="AC37">
        <f t="shared" si="9"/>
        <v>-1.8303326562077647E-2</v>
      </c>
      <c r="AE37">
        <f t="shared" si="10"/>
        <v>107.48798012616223</v>
      </c>
      <c r="AF37">
        <f t="shared" si="11"/>
        <v>-5.4562334628874831E-3</v>
      </c>
      <c r="AH37">
        <v>8.5490946634009489E-3</v>
      </c>
      <c r="AI37">
        <v>2.3450727533901504E-2</v>
      </c>
      <c r="AJ37">
        <v>1.8076099827183123E-3</v>
      </c>
      <c r="AK37">
        <v>2.189009010383397E-2</v>
      </c>
      <c r="AL37">
        <v>2.3322458232706272E-2</v>
      </c>
    </row>
    <row r="38" spans="1:48" x14ac:dyDescent="0.3">
      <c r="A38" s="1">
        <v>45770</v>
      </c>
      <c r="B38">
        <v>952.5</v>
      </c>
      <c r="C38">
        <f t="shared" si="0"/>
        <v>9.7529948054702071E-3</v>
      </c>
      <c r="D38">
        <f t="shared" si="12"/>
        <v>19.947643979057588</v>
      </c>
      <c r="E38">
        <f t="shared" si="1"/>
        <v>8.694318788408692E-3</v>
      </c>
      <c r="G38" s="1">
        <v>45770</v>
      </c>
      <c r="H38">
        <v>394.45</v>
      </c>
      <c r="I38">
        <f t="shared" si="2"/>
        <v>1.5054040144106962E-2</v>
      </c>
      <c r="J38">
        <f t="shared" si="13"/>
        <v>29.873871249635894</v>
      </c>
      <c r="K38">
        <f t="shared" si="3"/>
        <v>1.4533062150106885E-2</v>
      </c>
      <c r="M38" s="1">
        <v>45770</v>
      </c>
      <c r="N38" s="2">
        <v>11949</v>
      </c>
      <c r="O38">
        <f t="shared" si="4"/>
        <v>-8.3619031691613006E-4</v>
      </c>
      <c r="P38">
        <f t="shared" si="14"/>
        <v>16.011830411623666</v>
      </c>
      <c r="Q38">
        <f t="shared" si="5"/>
        <v>-1.8014565630861462E-3</v>
      </c>
      <c r="S38" s="1">
        <v>45770</v>
      </c>
      <c r="T38">
        <v>813.45</v>
      </c>
      <c r="U38">
        <f t="shared" si="6"/>
        <v>-1.0882782101167233E-2</v>
      </c>
      <c r="V38">
        <f t="shared" si="15"/>
        <v>24.268290950419079</v>
      </c>
      <c r="W38">
        <f t="shared" si="7"/>
        <v>-1.313213647661096E-2</v>
      </c>
      <c r="Y38" s="1">
        <v>45770</v>
      </c>
      <c r="Z38" s="2">
        <v>1474.9</v>
      </c>
      <c r="AA38" s="4">
        <f t="shared" si="8"/>
        <v>3.6617936463311879E-2</v>
      </c>
      <c r="AB38">
        <f t="shared" si="16"/>
        <v>18.39131666950064</v>
      </c>
      <c r="AC38">
        <f t="shared" si="9"/>
        <v>3.774948240295721E-2</v>
      </c>
      <c r="AE38">
        <f t="shared" si="10"/>
        <v>108.49295326023687</v>
      </c>
      <c r="AF38">
        <f t="shared" si="11"/>
        <v>9.3496327021409531E-3</v>
      </c>
      <c r="AH38">
        <v>-1.4601159677192282E-2</v>
      </c>
      <c r="AI38">
        <v>-6.2776621439297187E-3</v>
      </c>
      <c r="AJ38">
        <v>1.1295887898614902E-3</v>
      </c>
      <c r="AK38">
        <v>4.7299525916187583E-3</v>
      </c>
      <c r="AL38">
        <v>-1.8303326562077647E-2</v>
      </c>
    </row>
    <row r="39" spans="1:48" x14ac:dyDescent="0.3">
      <c r="A39" s="1">
        <v>45771</v>
      </c>
      <c r="B39">
        <v>968.95</v>
      </c>
      <c r="C39">
        <f t="shared" si="0"/>
        <v>1.7270341207349129E-2</v>
      </c>
      <c r="D39">
        <f t="shared" si="12"/>
        <v>20.292146596858636</v>
      </c>
      <c r="E39">
        <f t="shared" si="1"/>
        <v>1.6211665190287612E-2</v>
      </c>
      <c r="G39" s="1">
        <v>45771</v>
      </c>
      <c r="H39">
        <v>395.85</v>
      </c>
      <c r="I39">
        <f t="shared" si="2"/>
        <v>3.5492457852707164E-3</v>
      </c>
      <c r="J39">
        <f t="shared" si="13"/>
        <v>29.979900961258387</v>
      </c>
      <c r="K39">
        <f t="shared" si="3"/>
        <v>3.0282677912706387E-3</v>
      </c>
      <c r="M39" s="1">
        <v>45771</v>
      </c>
      <c r="N39" s="2">
        <v>12159</v>
      </c>
      <c r="O39">
        <f t="shared" si="4"/>
        <v>1.7574692442882251E-2</v>
      </c>
      <c r="P39">
        <f t="shared" si="14"/>
        <v>16.293233406555544</v>
      </c>
      <c r="Q39">
        <f t="shared" si="5"/>
        <v>1.6609426196712233E-2</v>
      </c>
      <c r="S39" s="1">
        <v>45771</v>
      </c>
      <c r="T39">
        <v>813.4</v>
      </c>
      <c r="U39">
        <f t="shared" si="6"/>
        <v>-6.1466592906839033E-5</v>
      </c>
      <c r="V39">
        <f t="shared" si="15"/>
        <v>24.266799261258683</v>
      </c>
      <c r="W39">
        <f t="shared" si="7"/>
        <v>-2.3108209683505659E-3</v>
      </c>
      <c r="Y39" s="1">
        <v>45771</v>
      </c>
      <c r="Z39" s="2">
        <v>1471.4</v>
      </c>
      <c r="AA39" s="4">
        <f t="shared" si="8"/>
        <v>-2.3730422401518746E-3</v>
      </c>
      <c r="AB39">
        <f t="shared" si="16"/>
        <v>18.347673298191904</v>
      </c>
      <c r="AC39">
        <f t="shared" si="9"/>
        <v>-1.2414963005065401E-3</v>
      </c>
      <c r="AE39">
        <f t="shared" si="10"/>
        <v>109.17975352412316</v>
      </c>
      <c r="AF39">
        <f t="shared" si="11"/>
        <v>6.3303674869914506E-3</v>
      </c>
      <c r="AH39">
        <v>8.694318788408692E-3</v>
      </c>
      <c r="AI39">
        <v>1.4533062150106885E-2</v>
      </c>
      <c r="AJ39">
        <v>-1.8014565630861462E-3</v>
      </c>
      <c r="AK39">
        <v>-1.313213647661096E-2</v>
      </c>
      <c r="AL39">
        <v>3.774948240295721E-2</v>
      </c>
    </row>
    <row r="40" spans="1:48" x14ac:dyDescent="0.3">
      <c r="A40" s="1">
        <v>45772</v>
      </c>
      <c r="B40">
        <v>912.55</v>
      </c>
      <c r="C40">
        <f t="shared" si="0"/>
        <v>-5.8207337839929915E-2</v>
      </c>
      <c r="D40">
        <f t="shared" si="12"/>
        <v>19.110994764397901</v>
      </c>
      <c r="E40">
        <f t="shared" si="1"/>
        <v>-5.9266013856991429E-2</v>
      </c>
      <c r="G40" s="1">
        <v>45772</v>
      </c>
      <c r="H40">
        <v>387.6</v>
      </c>
      <c r="I40">
        <f t="shared" si="2"/>
        <v>-2.0841227737779459E-2</v>
      </c>
      <c r="J40">
        <f t="shared" si="13"/>
        <v>29.355083017768731</v>
      </c>
      <c r="K40">
        <f t="shared" si="3"/>
        <v>-2.1362205731779538E-2</v>
      </c>
      <c r="M40" s="1">
        <v>45772</v>
      </c>
      <c r="N40" s="2">
        <v>12237</v>
      </c>
      <c r="O40">
        <f t="shared" si="4"/>
        <v>6.4150012336540831E-3</v>
      </c>
      <c r="P40">
        <f t="shared" si="14"/>
        <v>16.397754518958813</v>
      </c>
      <c r="Q40">
        <f t="shared" si="5"/>
        <v>5.4497349874840671E-3</v>
      </c>
      <c r="S40" s="1">
        <v>45772</v>
      </c>
      <c r="T40">
        <v>798.65</v>
      </c>
      <c r="U40">
        <f t="shared" si="6"/>
        <v>-1.813375952790755E-2</v>
      </c>
      <c r="V40">
        <f t="shared" si="15"/>
        <v>23.826750958943013</v>
      </c>
      <c r="W40">
        <f t="shared" si="7"/>
        <v>-2.0383113903351277E-2</v>
      </c>
      <c r="Y40" s="1">
        <v>45772</v>
      </c>
      <c r="Z40" s="2">
        <v>1480.2</v>
      </c>
      <c r="AA40" s="4">
        <f t="shared" si="8"/>
        <v>5.9806986543427714E-3</v>
      </c>
      <c r="AB40">
        <f t="shared" si="16"/>
        <v>18.457405203196718</v>
      </c>
      <c r="AC40">
        <f t="shared" si="9"/>
        <v>7.1122445939881054E-3</v>
      </c>
      <c r="AE40">
        <f t="shared" si="10"/>
        <v>107.14798846326518</v>
      </c>
      <c r="AF40">
        <f t="shared" si="11"/>
        <v>-1.8609357461217058E-2</v>
      </c>
      <c r="AH40">
        <v>1.6211665190287612E-2</v>
      </c>
      <c r="AI40">
        <v>3.0282677912706387E-3</v>
      </c>
      <c r="AJ40">
        <v>1.6609426196712233E-2</v>
      </c>
      <c r="AK40">
        <v>-2.3108209683505659E-3</v>
      </c>
      <c r="AL40">
        <v>-1.2414963005065401E-3</v>
      </c>
      <c r="AN40" s="28" t="s">
        <v>35</v>
      </c>
      <c r="AR40" s="28" t="s">
        <v>36</v>
      </c>
    </row>
    <row r="41" spans="1:48" x14ac:dyDescent="0.3">
      <c r="A41" s="1">
        <v>45775</v>
      </c>
      <c r="B41">
        <v>941</v>
      </c>
      <c r="C41">
        <f t="shared" si="0"/>
        <v>3.1176373897320746E-2</v>
      </c>
      <c r="D41">
        <f t="shared" si="12"/>
        <v>19.706806282722511</v>
      </c>
      <c r="E41">
        <f t="shared" si="1"/>
        <v>3.0117697880259232E-2</v>
      </c>
      <c r="G41" s="1">
        <v>45775</v>
      </c>
      <c r="H41">
        <v>395.1</v>
      </c>
      <c r="I41">
        <f t="shared" si="2"/>
        <v>1.9349845201238388E-2</v>
      </c>
      <c r="J41">
        <f t="shared" si="13"/>
        <v>29.923099330032059</v>
      </c>
      <c r="K41">
        <f t="shared" si="3"/>
        <v>1.8828867207238309E-2</v>
      </c>
      <c r="M41" s="1">
        <v>45775</v>
      </c>
      <c r="N41" s="2">
        <v>12114</v>
      </c>
      <c r="O41">
        <f t="shared" si="4"/>
        <v>-1.00514832066683E-2</v>
      </c>
      <c r="P41">
        <f t="shared" si="14"/>
        <v>16.232932764784429</v>
      </c>
      <c r="Q41">
        <f t="shared" si="5"/>
        <v>-1.1016749452838316E-2</v>
      </c>
      <c r="S41" s="1">
        <v>45775</v>
      </c>
      <c r="T41">
        <v>817.35</v>
      </c>
      <c r="U41">
        <f t="shared" si="6"/>
        <v>2.3414511988981465E-2</v>
      </c>
      <c r="V41">
        <f t="shared" si="15"/>
        <v>24.384642704929661</v>
      </c>
      <c r="W41">
        <f t="shared" si="7"/>
        <v>2.1165157613537738E-2</v>
      </c>
      <c r="Y41" s="1">
        <v>45775</v>
      </c>
      <c r="Z41" s="2">
        <v>1482.1</v>
      </c>
      <c r="AA41" s="4">
        <f t="shared" si="8"/>
        <v>1.2836103229292416E-3</v>
      </c>
      <c r="AB41">
        <f t="shared" si="16"/>
        <v>18.481097319050029</v>
      </c>
      <c r="AC41">
        <f t="shared" si="9"/>
        <v>2.4151562625745761E-3</v>
      </c>
      <c r="AE41">
        <f t="shared" si="10"/>
        <v>108.72857840151869</v>
      </c>
      <c r="AF41">
        <f t="shared" si="11"/>
        <v>1.4751466275033209E-2</v>
      </c>
      <c r="AH41">
        <v>-5.9266013856991429E-2</v>
      </c>
      <c r="AI41">
        <v>-2.1362205731779538E-2</v>
      </c>
      <c r="AJ41">
        <v>5.4497349874840671E-3</v>
      </c>
      <c r="AK41">
        <v>-2.0383113903351277E-2</v>
      </c>
      <c r="AL41">
        <v>7.1122445939881054E-3</v>
      </c>
      <c r="AN41" s="21" t="s">
        <v>23</v>
      </c>
      <c r="AO41" s="3">
        <f>STDEV(C5:C250)</f>
        <v>2.6922799943248428E-2</v>
      </c>
      <c r="AR41" s="21" t="s">
        <v>23</v>
      </c>
      <c r="AS41" s="22" t="s">
        <v>30</v>
      </c>
      <c r="AT41" s="23" t="s">
        <v>25</v>
      </c>
      <c r="AU41" s="24" t="s">
        <v>28</v>
      </c>
      <c r="AV41" s="25" t="s">
        <v>29</v>
      </c>
    </row>
    <row r="42" spans="1:48" x14ac:dyDescent="0.3">
      <c r="A42" s="1">
        <v>45776</v>
      </c>
      <c r="B42">
        <v>922.4</v>
      </c>
      <c r="C42">
        <f t="shared" si="0"/>
        <v>-1.9766206163655708E-2</v>
      </c>
      <c r="D42">
        <f t="shared" si="12"/>
        <v>19.317277486910992</v>
      </c>
      <c r="E42">
        <f t="shared" si="1"/>
        <v>-2.0824882180717222E-2</v>
      </c>
      <c r="G42" s="1">
        <v>45776</v>
      </c>
      <c r="H42">
        <v>393.35</v>
      </c>
      <c r="I42">
        <f t="shared" si="2"/>
        <v>-4.4292584155909897E-3</v>
      </c>
      <c r="J42">
        <f t="shared" si="13"/>
        <v>29.790562190503952</v>
      </c>
      <c r="K42">
        <f t="shared" si="3"/>
        <v>-4.9502364095910679E-3</v>
      </c>
      <c r="M42" s="1">
        <v>45776</v>
      </c>
      <c r="N42" s="2">
        <v>11869</v>
      </c>
      <c r="O42">
        <f t="shared" si="4"/>
        <v>-2.0224533597490508E-2</v>
      </c>
      <c r="P42">
        <f t="shared" si="14"/>
        <v>15.904629270697242</v>
      </c>
      <c r="Q42">
        <f t="shared" si="5"/>
        <v>-2.1189799843660526E-2</v>
      </c>
      <c r="S42" s="1">
        <v>45776</v>
      </c>
      <c r="T42">
        <v>812.55</v>
      </c>
      <c r="U42">
        <f t="shared" si="6"/>
        <v>-5.8726371811342361E-3</v>
      </c>
      <c r="V42">
        <f t="shared" si="15"/>
        <v>24.241440545532015</v>
      </c>
      <c r="W42">
        <f t="shared" si="7"/>
        <v>-8.1219915565779628E-3</v>
      </c>
      <c r="Y42" s="1">
        <v>45776</v>
      </c>
      <c r="Z42" s="2">
        <v>1497.5</v>
      </c>
      <c r="AA42" s="4">
        <f t="shared" si="8"/>
        <v>1.0390661898657373E-2</v>
      </c>
      <c r="AB42">
        <f t="shared" si="16"/>
        <v>18.673128152808459</v>
      </c>
      <c r="AC42">
        <f t="shared" si="9"/>
        <v>1.1522207838302708E-2</v>
      </c>
      <c r="AE42">
        <f t="shared" si="10"/>
        <v>107.92703764645266</v>
      </c>
      <c r="AF42">
        <f t="shared" si="11"/>
        <v>-7.3719418284496907E-3</v>
      </c>
      <c r="AH42">
        <v>3.0117697880259232E-2</v>
      </c>
      <c r="AI42">
        <v>1.8828867207238309E-2</v>
      </c>
      <c r="AJ42">
        <v>-1.1016749452838316E-2</v>
      </c>
      <c r="AK42">
        <v>2.1165157613537738E-2</v>
      </c>
      <c r="AL42">
        <v>2.4151562625745761E-3</v>
      </c>
      <c r="AN42" s="22" t="s">
        <v>30</v>
      </c>
      <c r="AO42" s="3">
        <f>STDEV(I5:I250)</f>
        <v>1.3792767596130025E-2</v>
      </c>
      <c r="AQ42" s="21" t="s">
        <v>23</v>
      </c>
      <c r="AR42" cm="1">
        <f t="array" ref="AR42:AV46">MMULT((AO41:AO45),TRANSPOSE(AO41:AO45))</f>
        <v>7.2483715678417753E-4</v>
      </c>
      <c r="AS42">
        <v>3.713399226543282E-4</v>
      </c>
      <c r="AT42">
        <v>3.0441698148637569E-4</v>
      </c>
      <c r="AU42">
        <v>3.3851869422826483E-4</v>
      </c>
      <c r="AV42">
        <v>4.5061224333952748E-4</v>
      </c>
    </row>
    <row r="43" spans="1:48" x14ac:dyDescent="0.3">
      <c r="A43" s="1">
        <v>45777</v>
      </c>
      <c r="B43">
        <v>900.7</v>
      </c>
      <c r="C43">
        <f t="shared" si="0"/>
        <v>-2.3525585429314759E-2</v>
      </c>
      <c r="D43">
        <f t="shared" si="12"/>
        <v>18.862827225130889</v>
      </c>
      <c r="E43">
        <f t="shared" si="1"/>
        <v>-2.4584261446376272E-2</v>
      </c>
      <c r="G43" s="1">
        <v>45777</v>
      </c>
      <c r="H43">
        <v>384.4</v>
      </c>
      <c r="I43">
        <f t="shared" si="2"/>
        <v>-2.275327316639137E-2</v>
      </c>
      <c r="J43">
        <f t="shared" si="13"/>
        <v>29.112729391203043</v>
      </c>
      <c r="K43">
        <f t="shared" si="3"/>
        <v>-2.3274251160391449E-2</v>
      </c>
      <c r="M43" s="1">
        <v>45777</v>
      </c>
      <c r="N43" s="2">
        <v>11641</v>
      </c>
      <c r="O43">
        <f t="shared" si="4"/>
        <v>-1.9209705956693909E-2</v>
      </c>
      <c r="P43">
        <f t="shared" si="14"/>
        <v>15.59910601905692</v>
      </c>
      <c r="Q43">
        <f t="shared" si="5"/>
        <v>-2.0174972202863926E-2</v>
      </c>
      <c r="S43" s="1">
        <v>45777</v>
      </c>
      <c r="T43">
        <v>788.65</v>
      </c>
      <c r="U43">
        <f t="shared" si="6"/>
        <v>-2.941357454925848E-2</v>
      </c>
      <c r="V43">
        <f t="shared" si="15"/>
        <v>23.528413126864592</v>
      </c>
      <c r="W43">
        <f t="shared" si="7"/>
        <v>-3.1662928924702211E-2</v>
      </c>
      <c r="Y43" s="1">
        <v>45777</v>
      </c>
      <c r="Z43" s="2">
        <v>1500.1</v>
      </c>
      <c r="AA43" s="4">
        <f t="shared" si="8"/>
        <v>1.7362270450750645E-3</v>
      </c>
      <c r="AB43">
        <f t="shared" si="16"/>
        <v>18.705548942923521</v>
      </c>
      <c r="AC43">
        <f t="shared" si="9"/>
        <v>2.8677729847203992E-3</v>
      </c>
      <c r="AE43">
        <f t="shared" si="10"/>
        <v>105.80862470517896</v>
      </c>
      <c r="AF43">
        <f t="shared" si="11"/>
        <v>-1.9628195005344296E-2</v>
      </c>
      <c r="AH43">
        <v>-2.0824882180717222E-2</v>
      </c>
      <c r="AI43">
        <v>-4.9502364095910679E-3</v>
      </c>
      <c r="AJ43">
        <v>-2.1189799843660526E-2</v>
      </c>
      <c r="AK43">
        <v>-8.1219915565779628E-3</v>
      </c>
      <c r="AL43">
        <v>1.1522207838302708E-2</v>
      </c>
      <c r="AN43" s="23" t="s">
        <v>25</v>
      </c>
      <c r="AO43" s="3">
        <f>STDEV(O5:O250)</f>
        <v>1.1307032779951104E-2</v>
      </c>
      <c r="AQ43" s="22" t="s">
        <v>30</v>
      </c>
      <c r="AR43">
        <v>3.713399226543282E-4</v>
      </c>
      <c r="AS43">
        <v>1.9024043796085443E-4</v>
      </c>
      <c r="AT43">
        <v>1.5595527533568957E-4</v>
      </c>
      <c r="AU43">
        <v>1.7342585787057994E-4</v>
      </c>
      <c r="AV43">
        <v>2.3085228733467998E-4</v>
      </c>
    </row>
    <row r="44" spans="1:48" x14ac:dyDescent="0.3">
      <c r="A44" s="1">
        <v>45779</v>
      </c>
      <c r="B44">
        <v>905.25</v>
      </c>
      <c r="C44">
        <f t="shared" si="0"/>
        <v>5.0516265127122841E-3</v>
      </c>
      <c r="D44">
        <f t="shared" si="12"/>
        <v>18.958115183246072</v>
      </c>
      <c r="E44">
        <f t="shared" si="1"/>
        <v>3.992950495650769E-3</v>
      </c>
      <c r="G44" s="1">
        <v>45779</v>
      </c>
      <c r="H44">
        <v>381.75</v>
      </c>
      <c r="I44">
        <f t="shared" si="2"/>
        <v>-6.8938605619146137E-3</v>
      </c>
      <c r="J44">
        <f t="shared" si="13"/>
        <v>28.912030294203333</v>
      </c>
      <c r="K44">
        <f t="shared" si="3"/>
        <v>-7.414838555914691E-3</v>
      </c>
      <c r="M44" s="1">
        <v>45779</v>
      </c>
      <c r="N44" s="2">
        <v>11644</v>
      </c>
      <c r="O44">
        <f t="shared" si="4"/>
        <v>2.5770981874409412E-4</v>
      </c>
      <c r="P44">
        <f t="shared" si="14"/>
        <v>15.603126061841662</v>
      </c>
      <c r="Q44">
        <f t="shared" si="5"/>
        <v>-7.0755642742592216E-4</v>
      </c>
      <c r="S44" s="1">
        <v>45779</v>
      </c>
      <c r="T44">
        <v>800</v>
      </c>
      <c r="U44">
        <f t="shared" si="6"/>
        <v>1.4391681988207726E-2</v>
      </c>
      <c r="V44">
        <f t="shared" si="15"/>
        <v>23.867026566273598</v>
      </c>
      <c r="W44">
        <f t="shared" si="7"/>
        <v>1.2142327612763999E-2</v>
      </c>
      <c r="Y44" s="1">
        <v>45779</v>
      </c>
      <c r="Z44" s="2">
        <v>1506.8</v>
      </c>
      <c r="AA44" s="4">
        <f t="shared" si="8"/>
        <v>4.4663689087394483E-3</v>
      </c>
      <c r="AB44">
        <f t="shared" si="16"/>
        <v>18.789094825143099</v>
      </c>
      <c r="AC44">
        <f t="shared" si="9"/>
        <v>5.5979148483847833E-3</v>
      </c>
      <c r="AE44">
        <f t="shared" si="10"/>
        <v>106.12939293070775</v>
      </c>
      <c r="AF44">
        <f t="shared" si="11"/>
        <v>3.0315886481142584E-3</v>
      </c>
      <c r="AH44">
        <v>-2.4584261446376272E-2</v>
      </c>
      <c r="AI44">
        <v>-2.3274251160391449E-2</v>
      </c>
      <c r="AJ44">
        <v>-2.0174972202863926E-2</v>
      </c>
      <c r="AK44">
        <v>-3.1662928924702211E-2</v>
      </c>
      <c r="AL44">
        <v>2.8677729847203992E-3</v>
      </c>
      <c r="AN44" s="24" t="s">
        <v>28</v>
      </c>
      <c r="AO44" s="3">
        <f>STDEV(U5:U250)</f>
        <v>1.2573680855700039E-2</v>
      </c>
      <c r="AQ44" s="23" t="s">
        <v>25</v>
      </c>
      <c r="AR44">
        <v>3.0441698148637569E-4</v>
      </c>
      <c r="AS44">
        <v>1.5595527533568957E-4</v>
      </c>
      <c r="AT44">
        <v>1.2784899028688877E-4</v>
      </c>
      <c r="AU44">
        <v>1.4217102160004398E-4</v>
      </c>
      <c r="AV44">
        <v>1.8924805061982649E-4</v>
      </c>
    </row>
    <row r="45" spans="1:48" x14ac:dyDescent="0.3">
      <c r="A45" s="1">
        <v>45782</v>
      </c>
      <c r="B45">
        <v>965.7</v>
      </c>
      <c r="C45">
        <f t="shared" si="0"/>
        <v>6.6777133388566751E-2</v>
      </c>
      <c r="D45">
        <f t="shared" si="12"/>
        <v>20.224083769633506</v>
      </c>
      <c r="E45">
        <f t="shared" si="1"/>
        <v>6.5718457371505237E-2</v>
      </c>
      <c r="G45" s="1">
        <v>45782</v>
      </c>
      <c r="H45">
        <v>389.1</v>
      </c>
      <c r="I45">
        <f t="shared" si="2"/>
        <v>1.925343811394898E-2</v>
      </c>
      <c r="J45">
        <f t="shared" si="13"/>
        <v>29.468686280221398</v>
      </c>
      <c r="K45">
        <f t="shared" si="3"/>
        <v>1.8732460119948901E-2</v>
      </c>
      <c r="M45" s="1">
        <v>45782</v>
      </c>
      <c r="N45" s="2">
        <v>11670</v>
      </c>
      <c r="O45">
        <f t="shared" si="4"/>
        <v>2.2329096530401922E-3</v>
      </c>
      <c r="P45">
        <f t="shared" si="14"/>
        <v>15.637966432642752</v>
      </c>
      <c r="Q45">
        <f t="shared" si="5"/>
        <v>1.2676434068701759E-3</v>
      </c>
      <c r="S45" s="1">
        <v>45782</v>
      </c>
      <c r="T45">
        <v>790</v>
      </c>
      <c r="U45">
        <f t="shared" si="6"/>
        <v>-1.2500000000000001E-2</v>
      </c>
      <c r="V45">
        <f t="shared" si="15"/>
        <v>23.568688734195177</v>
      </c>
      <c r="W45">
        <f t="shared" si="7"/>
        <v>-1.4749354375443727E-2</v>
      </c>
      <c r="Y45" s="1">
        <v>45782</v>
      </c>
      <c r="Z45" s="2">
        <v>1508.6</v>
      </c>
      <c r="AA45" s="4">
        <f t="shared" si="8"/>
        <v>1.1945845500397894E-3</v>
      </c>
      <c r="AB45">
        <f t="shared" si="16"/>
        <v>18.811539987530448</v>
      </c>
      <c r="AC45">
        <f t="shared" si="9"/>
        <v>2.3261304896851241E-3</v>
      </c>
      <c r="AE45">
        <f t="shared" si="10"/>
        <v>107.71096520422329</v>
      </c>
      <c r="AF45">
        <f t="shared" si="11"/>
        <v>1.4902302084665253E-2</v>
      </c>
      <c r="AH45">
        <v>3.992950495650769E-3</v>
      </c>
      <c r="AI45">
        <v>-7.414838555914691E-3</v>
      </c>
      <c r="AJ45">
        <v>-7.0755642742592216E-4</v>
      </c>
      <c r="AK45">
        <v>1.2142327612763999E-2</v>
      </c>
      <c r="AL45">
        <v>5.5979148483847833E-3</v>
      </c>
      <c r="AN45" s="25" t="s">
        <v>29</v>
      </c>
      <c r="AO45" s="3">
        <f>STDEV(AA5:AA2500)</f>
        <v>1.6737198370503432E-2</v>
      </c>
      <c r="AQ45" s="24" t="s">
        <v>28</v>
      </c>
      <c r="AR45">
        <v>3.3851869422826483E-4</v>
      </c>
      <c r="AS45">
        <v>1.7342585787057994E-4</v>
      </c>
      <c r="AT45">
        <v>1.4217102160004398E-4</v>
      </c>
      <c r="AU45">
        <v>1.5809745026099765E-4</v>
      </c>
      <c r="AV45">
        <v>2.1044819072925288E-4</v>
      </c>
    </row>
    <row r="46" spans="1:48" x14ac:dyDescent="0.3">
      <c r="A46" s="1">
        <v>45783</v>
      </c>
      <c r="B46">
        <v>923.25</v>
      </c>
      <c r="C46">
        <f t="shared" si="0"/>
        <v>-4.3957750854302625E-2</v>
      </c>
      <c r="D46">
        <f t="shared" si="12"/>
        <v>19.33507853403141</v>
      </c>
      <c r="E46">
        <f t="shared" si="1"/>
        <v>-4.5016426871364139E-2</v>
      </c>
      <c r="G46" s="1">
        <v>45783</v>
      </c>
      <c r="H46">
        <v>374.9</v>
      </c>
      <c r="I46">
        <f t="shared" si="2"/>
        <v>-3.6494474428167681E-2</v>
      </c>
      <c r="J46">
        <f t="shared" si="13"/>
        <v>28.393242062336164</v>
      </c>
      <c r="K46">
        <f t="shared" si="3"/>
        <v>-3.7015452422167756E-2</v>
      </c>
      <c r="M46" s="1">
        <v>45783</v>
      </c>
      <c r="N46" s="2">
        <v>11693</v>
      </c>
      <c r="O46">
        <f t="shared" si="4"/>
        <v>1.970865467009426E-3</v>
      </c>
      <c r="P46">
        <f t="shared" si="14"/>
        <v>15.668786760659101</v>
      </c>
      <c r="Q46">
        <f t="shared" si="5"/>
        <v>1.0055992208394097E-3</v>
      </c>
      <c r="S46" s="1">
        <v>45783</v>
      </c>
      <c r="T46">
        <v>774.1</v>
      </c>
      <c r="U46">
        <f t="shared" si="6"/>
        <v>-2.0126582278480985E-2</v>
      </c>
      <c r="V46">
        <f t="shared" si="15"/>
        <v>23.094331581190492</v>
      </c>
      <c r="W46">
        <f t="shared" si="7"/>
        <v>-2.2375936653924712E-2</v>
      </c>
      <c r="Y46" s="1">
        <v>45783</v>
      </c>
      <c r="Z46" s="2">
        <v>1511.5</v>
      </c>
      <c r="AA46" s="4">
        <f t="shared" si="8"/>
        <v>1.9223120774228364E-3</v>
      </c>
      <c r="AB46">
        <f t="shared" si="16"/>
        <v>18.8477016380434</v>
      </c>
      <c r="AC46">
        <f t="shared" si="9"/>
        <v>3.0538580170681711E-3</v>
      </c>
      <c r="AE46">
        <f t="shared" si="10"/>
        <v>105.33914057626056</v>
      </c>
      <c r="AF46">
        <f t="shared" si="11"/>
        <v>-2.2020270856042079E-2</v>
      </c>
      <c r="AH46">
        <v>6.5718457371505237E-2</v>
      </c>
      <c r="AI46">
        <v>1.8732460119948901E-2</v>
      </c>
      <c r="AJ46">
        <v>1.2676434068701759E-3</v>
      </c>
      <c r="AK46">
        <v>-1.4749354375443727E-2</v>
      </c>
      <c r="AL46">
        <v>2.3261304896851241E-3</v>
      </c>
      <c r="AQ46" s="25" t="s">
        <v>29</v>
      </c>
      <c r="AR46">
        <v>4.5061224333952748E-4</v>
      </c>
      <c r="AS46">
        <v>2.3085228733467998E-4</v>
      </c>
      <c r="AT46">
        <v>1.8924805061982649E-4</v>
      </c>
      <c r="AU46">
        <v>2.1044819072925288E-4</v>
      </c>
      <c r="AV46">
        <v>2.8013380929358273E-4</v>
      </c>
    </row>
    <row r="47" spans="1:48" x14ac:dyDescent="0.3">
      <c r="A47" s="1">
        <v>45784</v>
      </c>
      <c r="B47">
        <v>917.25</v>
      </c>
      <c r="C47">
        <f t="shared" si="0"/>
        <v>-6.498781478472786E-3</v>
      </c>
      <c r="D47">
        <f t="shared" si="12"/>
        <v>19.20942408376963</v>
      </c>
      <c r="E47">
        <f t="shared" si="1"/>
        <v>-7.5574574955343012E-3</v>
      </c>
      <c r="G47" s="1">
        <v>45784</v>
      </c>
      <c r="H47">
        <v>377.35</v>
      </c>
      <c r="I47">
        <f t="shared" si="2"/>
        <v>6.5350760202721944E-3</v>
      </c>
      <c r="J47">
        <f t="shared" si="13"/>
        <v>28.578794057675523</v>
      </c>
      <c r="K47">
        <f t="shared" si="3"/>
        <v>6.0140980262721171E-3</v>
      </c>
      <c r="M47" s="1">
        <v>45784</v>
      </c>
      <c r="N47" s="2">
        <v>11658</v>
      </c>
      <c r="O47">
        <f t="shared" si="4"/>
        <v>-2.9932438210895406E-3</v>
      </c>
      <c r="P47">
        <f t="shared" si="14"/>
        <v>15.621886261503787</v>
      </c>
      <c r="Q47">
        <f t="shared" si="5"/>
        <v>-3.9585100672595566E-3</v>
      </c>
      <c r="S47" s="1">
        <v>45784</v>
      </c>
      <c r="T47">
        <v>776.1</v>
      </c>
      <c r="U47">
        <f t="shared" si="6"/>
        <v>2.58364552383413E-3</v>
      </c>
      <c r="V47">
        <f t="shared" si="15"/>
        <v>23.153999147606175</v>
      </c>
      <c r="W47">
        <f t="shared" si="7"/>
        <v>3.3429114839040328E-4</v>
      </c>
      <c r="Y47" s="1">
        <v>45784</v>
      </c>
      <c r="Z47" s="2">
        <v>1508.3</v>
      </c>
      <c r="AA47" s="4">
        <f t="shared" si="8"/>
        <v>-2.1171022163414127E-3</v>
      </c>
      <c r="AB47">
        <f t="shared" si="16"/>
        <v>18.807799127132558</v>
      </c>
      <c r="AC47">
        <f t="shared" si="9"/>
        <v>-9.8555627669607822E-4</v>
      </c>
      <c r="AE47">
        <f t="shared" si="10"/>
        <v>105.37190267768769</v>
      </c>
      <c r="AF47">
        <f t="shared" si="11"/>
        <v>3.1101546156442339E-4</v>
      </c>
      <c r="AH47">
        <v>-4.5016426871364139E-2</v>
      </c>
      <c r="AI47">
        <v>-3.7015452422167756E-2</v>
      </c>
      <c r="AJ47">
        <v>1.0055992208394097E-3</v>
      </c>
      <c r="AK47">
        <v>-2.2375936653924712E-2</v>
      </c>
      <c r="AL47">
        <v>3.0538580170681711E-3</v>
      </c>
    </row>
    <row r="48" spans="1:48" x14ac:dyDescent="0.3">
      <c r="A48" s="1">
        <v>45785</v>
      </c>
      <c r="B48">
        <v>880.5</v>
      </c>
      <c r="C48">
        <f t="shared" si="0"/>
        <v>-4.006541291905151E-2</v>
      </c>
      <c r="D48">
        <f t="shared" si="12"/>
        <v>18.439790575916227</v>
      </c>
      <c r="E48">
        <f t="shared" si="1"/>
        <v>-4.1124088936113024E-2</v>
      </c>
      <c r="G48" s="1">
        <v>45785</v>
      </c>
      <c r="H48">
        <v>370.15</v>
      </c>
      <c r="I48">
        <f t="shared" si="2"/>
        <v>-1.9080429309659586E-2</v>
      </c>
      <c r="J48">
        <f t="shared" si="13"/>
        <v>28.033498397902726</v>
      </c>
      <c r="K48">
        <f t="shared" si="3"/>
        <v>-1.9601407303659665E-2</v>
      </c>
      <c r="M48" s="1">
        <v>45785</v>
      </c>
      <c r="N48" s="2">
        <v>11631</v>
      </c>
      <c r="O48">
        <f t="shared" si="4"/>
        <v>-2.3160061760164694E-3</v>
      </c>
      <c r="P48">
        <f t="shared" si="14"/>
        <v>15.585705876441118</v>
      </c>
      <c r="Q48">
        <f t="shared" si="5"/>
        <v>-3.2812724221864854E-3</v>
      </c>
      <c r="S48" s="1">
        <v>45785</v>
      </c>
      <c r="T48">
        <v>769</v>
      </c>
      <c r="U48">
        <f t="shared" si="6"/>
        <v>-9.14830563071772E-3</v>
      </c>
      <c r="V48">
        <f t="shared" si="15"/>
        <v>22.942179286830498</v>
      </c>
      <c r="W48">
        <f t="shared" si="7"/>
        <v>-1.1397660006161447E-2</v>
      </c>
      <c r="Y48" s="1">
        <v>45785</v>
      </c>
      <c r="Z48" s="2">
        <v>1511.4</v>
      </c>
      <c r="AA48" s="4">
        <f t="shared" si="8"/>
        <v>2.0552940396473757E-3</v>
      </c>
      <c r="AB48">
        <f t="shared" si="16"/>
        <v>18.846454684577441</v>
      </c>
      <c r="AC48">
        <f t="shared" si="9"/>
        <v>3.1868399792927102E-3</v>
      </c>
      <c r="AE48">
        <f t="shared" si="10"/>
        <v>103.847628821668</v>
      </c>
      <c r="AF48">
        <f t="shared" si="11"/>
        <v>-1.4465657516711583E-2</v>
      </c>
      <c r="AH48">
        <v>-7.5574574955343012E-3</v>
      </c>
      <c r="AI48">
        <v>6.0140980262721171E-3</v>
      </c>
      <c r="AJ48">
        <v>-3.9585100672595566E-3</v>
      </c>
      <c r="AK48">
        <v>3.3429114839040328E-4</v>
      </c>
      <c r="AL48">
        <v>-9.8555627669607822E-4</v>
      </c>
    </row>
    <row r="49" spans="1:45" x14ac:dyDescent="0.3">
      <c r="A49" s="1">
        <v>45786</v>
      </c>
      <c r="B49">
        <v>879.45</v>
      </c>
      <c r="C49">
        <f t="shared" si="0"/>
        <v>-1.1925042589437302E-3</v>
      </c>
      <c r="D49">
        <f t="shared" si="12"/>
        <v>18.417801047120417</v>
      </c>
      <c r="E49">
        <f t="shared" si="1"/>
        <v>-2.2511802760052453E-3</v>
      </c>
      <c r="G49" s="1">
        <v>45786</v>
      </c>
      <c r="H49">
        <v>371</v>
      </c>
      <c r="I49">
        <f t="shared" si="2"/>
        <v>2.2963663379711543E-3</v>
      </c>
      <c r="J49">
        <f t="shared" si="13"/>
        <v>28.097873579959238</v>
      </c>
      <c r="K49">
        <f t="shared" si="3"/>
        <v>1.7753883439710766E-3</v>
      </c>
      <c r="M49" s="1">
        <v>45786</v>
      </c>
      <c r="N49" s="2">
        <v>11364</v>
      </c>
      <c r="O49">
        <f t="shared" si="4"/>
        <v>-2.2955893732267217E-2</v>
      </c>
      <c r="P49">
        <f t="shared" si="14"/>
        <v>15.227922068599161</v>
      </c>
      <c r="Q49">
        <f t="shared" si="5"/>
        <v>-2.3921159978437235E-2</v>
      </c>
      <c r="S49" s="1">
        <v>45786</v>
      </c>
      <c r="T49">
        <v>779.25</v>
      </c>
      <c r="U49">
        <f t="shared" si="6"/>
        <v>1.3328998699609884E-2</v>
      </c>
      <c r="V49">
        <f t="shared" si="15"/>
        <v>23.247975564710881</v>
      </c>
      <c r="W49">
        <f t="shared" si="7"/>
        <v>1.1079644324166157E-2</v>
      </c>
      <c r="Y49" s="1">
        <v>45786</v>
      </c>
      <c r="Z49" s="2">
        <v>1507.6</v>
      </c>
      <c r="AA49" s="4">
        <f t="shared" si="8"/>
        <v>-2.5142252216489224E-3</v>
      </c>
      <c r="AB49">
        <f t="shared" si="16"/>
        <v>18.799070452870815</v>
      </c>
      <c r="AC49">
        <f t="shared" si="9"/>
        <v>-1.382679282003588E-3</v>
      </c>
      <c r="AE49">
        <f t="shared" si="10"/>
        <v>103.79064271326051</v>
      </c>
      <c r="AF49">
        <f t="shared" si="11"/>
        <v>-5.4874732388299208E-4</v>
      </c>
      <c r="AH49">
        <v>-4.1124088936113024E-2</v>
      </c>
      <c r="AI49">
        <v>-1.9601407303659665E-2</v>
      </c>
      <c r="AJ49">
        <v>-3.2812724221864854E-3</v>
      </c>
      <c r="AK49">
        <v>-1.1397660006161447E-2</v>
      </c>
      <c r="AL49">
        <v>3.1868399792927102E-3</v>
      </c>
    </row>
    <row r="50" spans="1:45" x14ac:dyDescent="0.3">
      <c r="A50" s="1">
        <v>45789</v>
      </c>
      <c r="B50">
        <v>940.55</v>
      </c>
      <c r="C50">
        <f t="shared" si="0"/>
        <v>6.9475240206947411E-2</v>
      </c>
      <c r="D50">
        <f t="shared" si="12"/>
        <v>19.697382198952877</v>
      </c>
      <c r="E50">
        <f t="shared" si="1"/>
        <v>6.8416564189885898E-2</v>
      </c>
      <c r="G50" s="1">
        <v>45789</v>
      </c>
      <c r="H50">
        <v>391.4</v>
      </c>
      <c r="I50">
        <f t="shared" si="2"/>
        <v>5.4986522911051154E-2</v>
      </c>
      <c r="J50">
        <f t="shared" si="13"/>
        <v>29.642877949315483</v>
      </c>
      <c r="K50">
        <f t="shared" si="3"/>
        <v>5.4465544917051079E-2</v>
      </c>
      <c r="M50" s="1">
        <v>45789</v>
      </c>
      <c r="N50" s="2">
        <v>11736</v>
      </c>
      <c r="O50">
        <f t="shared" si="4"/>
        <v>3.2734952481520592E-2</v>
      </c>
      <c r="P50">
        <f t="shared" si="14"/>
        <v>15.726407373907053</v>
      </c>
      <c r="Q50">
        <f t="shared" si="5"/>
        <v>3.1769686235350578E-2</v>
      </c>
      <c r="S50" s="1">
        <v>45789</v>
      </c>
      <c r="T50">
        <v>801.65</v>
      </c>
      <c r="U50">
        <f t="shared" si="6"/>
        <v>2.8745588707090122E-2</v>
      </c>
      <c r="V50">
        <f t="shared" si="15"/>
        <v>23.916252308566545</v>
      </c>
      <c r="W50">
        <f t="shared" si="7"/>
        <v>2.6496234331646395E-2</v>
      </c>
      <c r="Y50" s="1">
        <v>45789</v>
      </c>
      <c r="Z50" s="2">
        <v>1626.9</v>
      </c>
      <c r="AA50" s="4">
        <f t="shared" si="8"/>
        <v>7.9132395860971205E-2</v>
      </c>
      <c r="AB50">
        <f t="shared" si="16"/>
        <v>20.286685937765675</v>
      </c>
      <c r="AC50">
        <f t="shared" si="9"/>
        <v>8.0263941800616537E-2</v>
      </c>
      <c r="AE50">
        <f t="shared" si="10"/>
        <v>109.26960576850763</v>
      </c>
      <c r="AF50">
        <f t="shared" si="11"/>
        <v>5.2788603211405993E-2</v>
      </c>
      <c r="AH50">
        <v>-2.2511802760052453E-3</v>
      </c>
      <c r="AI50">
        <v>1.7753883439710766E-3</v>
      </c>
      <c r="AJ50">
        <v>-2.3921159978437235E-2</v>
      </c>
      <c r="AK50">
        <v>1.1079644324166157E-2</v>
      </c>
      <c r="AL50">
        <v>-1.382679282003588E-3</v>
      </c>
      <c r="AO50" s="28" t="s">
        <v>37</v>
      </c>
    </row>
    <row r="51" spans="1:45" x14ac:dyDescent="0.3">
      <c r="A51" s="1">
        <v>45790</v>
      </c>
      <c r="B51">
        <v>958.05</v>
      </c>
      <c r="C51">
        <f t="shared" si="0"/>
        <v>1.8606134708415288E-2</v>
      </c>
      <c r="D51">
        <f t="shared" si="12"/>
        <v>20.063874345549735</v>
      </c>
      <c r="E51">
        <f t="shared" si="1"/>
        <v>1.7547458691353775E-2</v>
      </c>
      <c r="G51" s="1">
        <v>45790</v>
      </c>
      <c r="H51">
        <v>389.3</v>
      </c>
      <c r="I51">
        <f t="shared" si="2"/>
        <v>-5.3653551354112573E-3</v>
      </c>
      <c r="J51">
        <f t="shared" si="13"/>
        <v>29.483833381881755</v>
      </c>
      <c r="K51">
        <f t="shared" si="3"/>
        <v>-5.8863331294113346E-3</v>
      </c>
      <c r="M51" s="1">
        <v>45790</v>
      </c>
      <c r="N51" s="2">
        <v>11661</v>
      </c>
      <c r="O51">
        <f t="shared" si="4"/>
        <v>-6.3905930470347649E-3</v>
      </c>
      <c r="P51">
        <f t="shared" si="14"/>
        <v>15.625906304288527</v>
      </c>
      <c r="Q51">
        <f t="shared" si="5"/>
        <v>-7.3558592932047809E-3</v>
      </c>
      <c r="S51" s="1">
        <v>45790</v>
      </c>
      <c r="T51">
        <v>801.75</v>
      </c>
      <c r="U51">
        <f t="shared" si="6"/>
        <v>1.2474271814385672E-4</v>
      </c>
      <c r="V51">
        <f t="shared" si="15"/>
        <v>23.91923568688733</v>
      </c>
      <c r="W51">
        <f t="shared" si="7"/>
        <v>-2.1246116572998701E-3</v>
      </c>
      <c r="Y51" s="1">
        <v>45790</v>
      </c>
      <c r="Z51" s="2">
        <v>1568.6</v>
      </c>
      <c r="AA51" s="4">
        <f t="shared" si="8"/>
        <v>-3.583502366463838E-2</v>
      </c>
      <c r="AB51">
        <f t="shared" si="16"/>
        <v>19.559712067108755</v>
      </c>
      <c r="AC51">
        <f t="shared" si="9"/>
        <v>-3.4703477724993048E-2</v>
      </c>
      <c r="AE51">
        <f t="shared" si="10"/>
        <v>108.6525617857161</v>
      </c>
      <c r="AF51">
        <f t="shared" si="11"/>
        <v>-5.646986446521618E-3</v>
      </c>
      <c r="AH51">
        <v>6.8416564189885898E-2</v>
      </c>
      <c r="AI51">
        <v>5.4465544917051079E-2</v>
      </c>
      <c r="AJ51">
        <v>3.1769686235350578E-2</v>
      </c>
      <c r="AK51">
        <v>2.6496234331646395E-2</v>
      </c>
      <c r="AL51">
        <v>8.0263941800616537E-2</v>
      </c>
      <c r="AO51" s="21" t="s">
        <v>23</v>
      </c>
      <c r="AP51" s="22" t="s">
        <v>30</v>
      </c>
      <c r="AQ51" s="23" t="s">
        <v>25</v>
      </c>
      <c r="AR51" s="24" t="s">
        <v>28</v>
      </c>
      <c r="AS51" s="25" t="s">
        <v>29</v>
      </c>
    </row>
    <row r="52" spans="1:45" x14ac:dyDescent="0.3">
      <c r="A52" s="1">
        <v>45791</v>
      </c>
      <c r="B52">
        <v>967.25</v>
      </c>
      <c r="C52">
        <f t="shared" si="0"/>
        <v>9.6028391002557761E-3</v>
      </c>
      <c r="D52">
        <f t="shared" si="12"/>
        <v>20.2565445026178</v>
      </c>
      <c r="E52">
        <f t="shared" si="1"/>
        <v>8.544163083194261E-3</v>
      </c>
      <c r="G52" s="1">
        <v>45791</v>
      </c>
      <c r="H52">
        <v>396.95</v>
      </c>
      <c r="I52">
        <f t="shared" si="2"/>
        <v>1.9650655021834003E-2</v>
      </c>
      <c r="J52">
        <f t="shared" si="13"/>
        <v>30.063210020390347</v>
      </c>
      <c r="K52">
        <f t="shared" si="3"/>
        <v>1.9129677027833924E-2</v>
      </c>
      <c r="M52" s="1">
        <v>45791</v>
      </c>
      <c r="N52" s="2">
        <v>11672</v>
      </c>
      <c r="O52">
        <f t="shared" si="4"/>
        <v>9.433153245862276E-4</v>
      </c>
      <c r="P52">
        <f t="shared" si="14"/>
        <v>15.640646461165909</v>
      </c>
      <c r="Q52">
        <f t="shared" si="5"/>
        <v>-2.195092158378863E-5</v>
      </c>
      <c r="S52" s="1">
        <v>45791</v>
      </c>
      <c r="T52">
        <v>800.7</v>
      </c>
      <c r="U52">
        <f t="shared" si="6"/>
        <v>-1.3096351730588769E-3</v>
      </c>
      <c r="V52">
        <f t="shared" si="15"/>
        <v>23.887910214519096</v>
      </c>
      <c r="W52">
        <f t="shared" si="7"/>
        <v>-3.5589895485026038E-3</v>
      </c>
      <c r="Y52" s="1">
        <v>45791</v>
      </c>
      <c r="Z52" s="2">
        <v>1592.4</v>
      </c>
      <c r="AA52" s="4">
        <f t="shared" si="8"/>
        <v>1.5172765523396777E-2</v>
      </c>
      <c r="AB52">
        <f t="shared" si="16"/>
        <v>19.856486992008154</v>
      </c>
      <c r="AC52">
        <f t="shared" si="9"/>
        <v>1.630431146304211E-2</v>
      </c>
      <c r="AE52">
        <f t="shared" si="10"/>
        <v>109.70479819070131</v>
      </c>
      <c r="AF52">
        <f t="shared" si="11"/>
        <v>9.6844141333769507E-3</v>
      </c>
      <c r="AH52">
        <v>1.7547458691353775E-2</v>
      </c>
      <c r="AI52">
        <v>-5.8863331294113346E-3</v>
      </c>
      <c r="AJ52">
        <v>-7.3558592932047809E-3</v>
      </c>
      <c r="AK52">
        <v>-2.1246116572998701E-3</v>
      </c>
      <c r="AL52">
        <v>-3.4703477724993048E-2</v>
      </c>
      <c r="AN52" s="21" t="s">
        <v>23</v>
      </c>
      <c r="AO52" s="29" cm="1">
        <f t="array" ref="AO52:AS56">AO31:AS35/AR42:AV46</f>
        <v>0.99593495934959408</v>
      </c>
      <c r="AP52">
        <v>0.61774293112141987</v>
      </c>
      <c r="AQ52">
        <v>0.36927708419645983</v>
      </c>
      <c r="AR52">
        <v>0.36280650151682209</v>
      </c>
      <c r="AS52">
        <v>0.13745417219426026</v>
      </c>
    </row>
    <row r="53" spans="1:45" x14ac:dyDescent="0.3">
      <c r="A53" s="1">
        <v>45792</v>
      </c>
      <c r="B53">
        <v>967.9</v>
      </c>
      <c r="C53">
        <f t="shared" si="0"/>
        <v>6.7200827087100258E-4</v>
      </c>
      <c r="D53">
        <f t="shared" si="12"/>
        <v>20.270157068062826</v>
      </c>
      <c r="E53">
        <f t="shared" si="1"/>
        <v>-3.8666774619051253E-4</v>
      </c>
      <c r="G53" s="1">
        <v>45792</v>
      </c>
      <c r="H53">
        <v>397.95</v>
      </c>
      <c r="I53">
        <f t="shared" si="2"/>
        <v>2.5192089683839275E-3</v>
      </c>
      <c r="J53">
        <f t="shared" si="13"/>
        <v>30.138945528692123</v>
      </c>
      <c r="K53">
        <f t="shared" si="3"/>
        <v>1.9982309743838498E-3</v>
      </c>
      <c r="M53" s="1">
        <v>45792</v>
      </c>
      <c r="N53" s="2">
        <v>11894</v>
      </c>
      <c r="O53">
        <f t="shared" si="4"/>
        <v>1.9019876627827278E-2</v>
      </c>
      <c r="P53">
        <f t="shared" si="14"/>
        <v>15.93812962723675</v>
      </c>
      <c r="Q53">
        <f t="shared" si="5"/>
        <v>1.805461038165726E-2</v>
      </c>
      <c r="S53" s="1">
        <v>45792</v>
      </c>
      <c r="T53">
        <v>807.75</v>
      </c>
      <c r="U53">
        <f t="shared" si="6"/>
        <v>8.8047958036717305E-3</v>
      </c>
      <c r="V53">
        <f t="shared" si="15"/>
        <v>24.09823838613438</v>
      </c>
      <c r="W53">
        <f t="shared" si="7"/>
        <v>6.5554414282280038E-3</v>
      </c>
      <c r="Y53" s="1">
        <v>45792</v>
      </c>
      <c r="Z53" s="2">
        <v>1613</v>
      </c>
      <c r="AA53" s="4">
        <f t="shared" si="8"/>
        <v>1.2936448128610844E-2</v>
      </c>
      <c r="AB53">
        <f t="shared" si="16"/>
        <v>20.113359405996707</v>
      </c>
      <c r="AC53">
        <f t="shared" si="9"/>
        <v>1.4067994068256179E-2</v>
      </c>
      <c r="AE53">
        <f t="shared" si="10"/>
        <v>110.55883001612278</v>
      </c>
      <c r="AF53">
        <f t="shared" si="11"/>
        <v>7.7848174328427611E-3</v>
      </c>
      <c r="AH53">
        <v>8.544163083194261E-3</v>
      </c>
      <c r="AI53">
        <v>1.9129677027833924E-2</v>
      </c>
      <c r="AJ53">
        <v>-2.195092158378863E-5</v>
      </c>
      <c r="AK53">
        <v>-3.5589895485026038E-3</v>
      </c>
      <c r="AL53">
        <v>1.630431146304211E-2</v>
      </c>
      <c r="AN53" s="22" t="s">
        <v>30</v>
      </c>
      <c r="AO53">
        <v>0.61774293112141987</v>
      </c>
      <c r="AP53" s="29">
        <v>0.99593495934959386</v>
      </c>
      <c r="AQ53">
        <v>0.45472096521883676</v>
      </c>
      <c r="AR53">
        <v>0.48484823919720688</v>
      </c>
      <c r="AS53">
        <v>0.19995089202164545</v>
      </c>
    </row>
    <row r="54" spans="1:45" x14ac:dyDescent="0.3">
      <c r="A54" s="1">
        <v>45793</v>
      </c>
      <c r="B54" s="2">
        <v>1020.1</v>
      </c>
      <c r="C54">
        <f t="shared" si="0"/>
        <v>5.3931191238764387E-2</v>
      </c>
      <c r="D54">
        <f t="shared" si="12"/>
        <v>21.363350785340312</v>
      </c>
      <c r="E54">
        <f t="shared" si="1"/>
        <v>5.2872515221702873E-2</v>
      </c>
      <c r="G54" s="1">
        <v>45793</v>
      </c>
      <c r="H54">
        <v>405.8</v>
      </c>
      <c r="I54">
        <f t="shared" si="2"/>
        <v>1.9726096243246696E-2</v>
      </c>
      <c r="J54">
        <f t="shared" si="13"/>
        <v>30.733469268861072</v>
      </c>
      <c r="K54">
        <f t="shared" si="3"/>
        <v>1.9205118249246617E-2</v>
      </c>
      <c r="M54" s="1">
        <v>45793</v>
      </c>
      <c r="N54" s="2">
        <v>11905</v>
      </c>
      <c r="O54">
        <f t="shared" si="4"/>
        <v>9.2483605179081887E-4</v>
      </c>
      <c r="P54">
        <f t="shared" si="14"/>
        <v>15.952869784114133</v>
      </c>
      <c r="Q54">
        <f t="shared" si="5"/>
        <v>-4.0430194379197353E-5</v>
      </c>
      <c r="S54" s="1">
        <v>45793</v>
      </c>
      <c r="T54">
        <v>792.1</v>
      </c>
      <c r="U54">
        <f t="shared" si="6"/>
        <v>-1.9374806561436059E-2</v>
      </c>
      <c r="V54">
        <f t="shared" si="15"/>
        <v>23.631339678931653</v>
      </c>
      <c r="W54">
        <f t="shared" si="7"/>
        <v>-2.1624160936879785E-2</v>
      </c>
      <c r="Y54" s="1">
        <v>45793</v>
      </c>
      <c r="Z54" s="2">
        <v>1589.9</v>
      </c>
      <c r="AA54" s="4">
        <f t="shared" si="8"/>
        <v>-1.432114073155605E-2</v>
      </c>
      <c r="AB54">
        <f t="shared" si="16"/>
        <v>19.825313155359062</v>
      </c>
      <c r="AC54">
        <f t="shared" si="9"/>
        <v>-1.3189594791910715E-2</v>
      </c>
      <c r="AE54">
        <f t="shared" si="10"/>
        <v>111.50634267260624</v>
      </c>
      <c r="AF54">
        <f t="shared" si="11"/>
        <v>8.570212404972688E-3</v>
      </c>
      <c r="AH54">
        <v>-3.8666774619051253E-4</v>
      </c>
      <c r="AI54">
        <v>1.9982309743838498E-3</v>
      </c>
      <c r="AJ54">
        <v>1.805461038165726E-2</v>
      </c>
      <c r="AK54">
        <v>6.5554414282280038E-3</v>
      </c>
      <c r="AL54">
        <v>1.4067994068256179E-2</v>
      </c>
      <c r="AN54" s="23" t="s">
        <v>25</v>
      </c>
      <c r="AO54">
        <v>0.36927708419645983</v>
      </c>
      <c r="AP54">
        <v>0.45472096521883676</v>
      </c>
      <c r="AQ54" s="29">
        <v>0.99593495934959397</v>
      </c>
      <c r="AR54">
        <v>0.35268856998270981</v>
      </c>
      <c r="AS54">
        <v>0.12519938444764542</v>
      </c>
    </row>
    <row r="55" spans="1:45" x14ac:dyDescent="0.3">
      <c r="A55" s="1">
        <v>45796</v>
      </c>
      <c r="B55" s="2">
        <v>1014</v>
      </c>
      <c r="C55">
        <f t="shared" si="0"/>
        <v>-5.9798059013822392E-3</v>
      </c>
      <c r="D55">
        <f t="shared" si="12"/>
        <v>21.235602094240836</v>
      </c>
      <c r="E55">
        <f t="shared" si="1"/>
        <v>-7.0384819184437543E-3</v>
      </c>
      <c r="G55" s="1">
        <v>45796</v>
      </c>
      <c r="H55">
        <v>408.1</v>
      </c>
      <c r="I55">
        <f t="shared" si="2"/>
        <v>5.6678166584524679E-3</v>
      </c>
      <c r="J55">
        <f t="shared" si="13"/>
        <v>30.907660937955161</v>
      </c>
      <c r="K55">
        <f t="shared" si="3"/>
        <v>5.1468386644523897E-3</v>
      </c>
      <c r="M55" s="1">
        <v>45796</v>
      </c>
      <c r="N55" s="2">
        <v>11929</v>
      </c>
      <c r="O55">
        <f t="shared" si="4"/>
        <v>2.0159596808063838E-3</v>
      </c>
      <c r="P55">
        <f t="shared" si="14"/>
        <v>15.985030126392063</v>
      </c>
      <c r="Q55">
        <f t="shared" si="5"/>
        <v>1.0506934346363676E-3</v>
      </c>
      <c r="S55" s="1">
        <v>45796</v>
      </c>
      <c r="T55">
        <v>795</v>
      </c>
      <c r="U55">
        <f t="shared" si="6"/>
        <v>3.661153894710235E-3</v>
      </c>
      <c r="V55">
        <f t="shared" si="15"/>
        <v>23.717857650234393</v>
      </c>
      <c r="W55">
        <f t="shared" si="7"/>
        <v>1.4117995192665083E-3</v>
      </c>
      <c r="Y55" s="1">
        <v>45796</v>
      </c>
      <c r="Z55" s="2">
        <v>1559.8</v>
      </c>
      <c r="AA55" s="4">
        <f t="shared" si="8"/>
        <v>-1.8932008302409042E-2</v>
      </c>
      <c r="AB55">
        <f t="shared" si="16"/>
        <v>19.449980162103945</v>
      </c>
      <c r="AC55">
        <f t="shared" si="9"/>
        <v>-1.7800462362763707E-2</v>
      </c>
      <c r="AE55">
        <f t="shared" si="10"/>
        <v>111.29613097092638</v>
      </c>
      <c r="AF55">
        <f t="shared" si="11"/>
        <v>-1.8851995020323642E-3</v>
      </c>
      <c r="AH55">
        <v>5.2872515221702873E-2</v>
      </c>
      <c r="AI55">
        <v>1.9205118249246617E-2</v>
      </c>
      <c r="AJ55">
        <v>-4.0430194379197353E-5</v>
      </c>
      <c r="AK55">
        <v>-2.1624160936879785E-2</v>
      </c>
      <c r="AL55">
        <v>-1.3189594791910715E-2</v>
      </c>
      <c r="AN55" s="24" t="s">
        <v>28</v>
      </c>
      <c r="AO55">
        <v>0.36280650151682209</v>
      </c>
      <c r="AP55">
        <v>0.48484823919720688</v>
      </c>
      <c r="AQ55">
        <v>0.35268856998270981</v>
      </c>
      <c r="AR55" s="29">
        <v>0.99593495934959364</v>
      </c>
      <c r="AS55">
        <v>0.15353123966612217</v>
      </c>
    </row>
    <row r="56" spans="1:45" x14ac:dyDescent="0.3">
      <c r="A56" s="1">
        <v>45797</v>
      </c>
      <c r="B56">
        <v>983.95</v>
      </c>
      <c r="C56">
        <f t="shared" si="0"/>
        <v>-2.9635108481262284E-2</v>
      </c>
      <c r="D56">
        <f t="shared" si="12"/>
        <v>20.60628272251309</v>
      </c>
      <c r="E56">
        <f t="shared" si="1"/>
        <v>-3.0693784498323801E-2</v>
      </c>
      <c r="G56" s="1">
        <v>45797</v>
      </c>
      <c r="H56">
        <v>398.95</v>
      </c>
      <c r="I56">
        <f t="shared" si="2"/>
        <v>-2.2420975251164012E-2</v>
      </c>
      <c r="J56">
        <f t="shared" si="13"/>
        <v>30.214681036993898</v>
      </c>
      <c r="K56">
        <f t="shared" si="3"/>
        <v>-2.2941953245164091E-2</v>
      </c>
      <c r="M56" s="1">
        <v>45797</v>
      </c>
      <c r="N56" s="2">
        <v>11697</v>
      </c>
      <c r="O56">
        <f t="shared" si="4"/>
        <v>-1.9448403051387377E-2</v>
      </c>
      <c r="P56">
        <f t="shared" si="14"/>
        <v>15.67414681770542</v>
      </c>
      <c r="Q56">
        <f t="shared" si="5"/>
        <v>-2.0413669297557394E-2</v>
      </c>
      <c r="S56" s="1">
        <v>45797</v>
      </c>
      <c r="T56">
        <v>785.65</v>
      </c>
      <c r="U56">
        <f t="shared" si="6"/>
        <v>-1.1761006289308205E-2</v>
      </c>
      <c r="V56">
        <f t="shared" si="15"/>
        <v>23.438911777241071</v>
      </c>
      <c r="W56">
        <f t="shared" si="7"/>
        <v>-1.4010360664751932E-2</v>
      </c>
      <c r="Y56" s="1">
        <v>45797</v>
      </c>
      <c r="Z56" s="2">
        <v>1560.6</v>
      </c>
      <c r="AA56" s="4">
        <f t="shared" si="8"/>
        <v>5.1288626747015935E-4</v>
      </c>
      <c r="AB56">
        <f t="shared" si="16"/>
        <v>19.459955789831653</v>
      </c>
      <c r="AC56">
        <f t="shared" si="9"/>
        <v>1.644432207115494E-3</v>
      </c>
      <c r="AE56">
        <f t="shared" si="10"/>
        <v>109.39397814428513</v>
      </c>
      <c r="AF56">
        <f t="shared" si="11"/>
        <v>-1.7090916009813051E-2</v>
      </c>
      <c r="AH56">
        <v>-7.0384819184437543E-3</v>
      </c>
      <c r="AI56">
        <v>5.1468386644523897E-3</v>
      </c>
      <c r="AJ56">
        <v>1.0506934346363676E-3</v>
      </c>
      <c r="AK56">
        <v>1.4117995192665083E-3</v>
      </c>
      <c r="AL56">
        <v>-1.7800462362763707E-2</v>
      </c>
      <c r="AN56" s="25" t="s">
        <v>29</v>
      </c>
      <c r="AO56">
        <v>0.13745417219426026</v>
      </c>
      <c r="AP56">
        <v>0.19995089202164545</v>
      </c>
      <c r="AQ56">
        <v>0.12519938444764542</v>
      </c>
      <c r="AR56">
        <v>0.15353123966612217</v>
      </c>
      <c r="AS56" s="29">
        <v>1.0000000000000007</v>
      </c>
    </row>
    <row r="57" spans="1:45" x14ac:dyDescent="0.3">
      <c r="A57" s="1">
        <v>45798</v>
      </c>
      <c r="B57">
        <v>996.5</v>
      </c>
      <c r="C57">
        <f t="shared" si="0"/>
        <v>1.2754713145993144E-2</v>
      </c>
      <c r="D57">
        <f t="shared" si="12"/>
        <v>20.869109947643977</v>
      </c>
      <c r="E57">
        <f t="shared" si="1"/>
        <v>1.1696037128931629E-2</v>
      </c>
      <c r="G57" s="1">
        <v>45798</v>
      </c>
      <c r="H57">
        <v>401.85</v>
      </c>
      <c r="I57">
        <f t="shared" si="2"/>
        <v>7.2690813385136843E-3</v>
      </c>
      <c r="J57">
        <f t="shared" si="13"/>
        <v>30.434314011069052</v>
      </c>
      <c r="K57">
        <f t="shared" si="3"/>
        <v>6.748103344513607E-3</v>
      </c>
      <c r="M57" s="1">
        <v>45798</v>
      </c>
      <c r="N57" s="2">
        <v>11666</v>
      </c>
      <c r="O57">
        <f t="shared" si="4"/>
        <v>-2.6502522014191674E-3</v>
      </c>
      <c r="P57">
        <f t="shared" si="14"/>
        <v>15.63260637559643</v>
      </c>
      <c r="Q57">
        <f t="shared" si="5"/>
        <v>-3.6155184475891835E-3</v>
      </c>
      <c r="S57" s="1">
        <v>45798</v>
      </c>
      <c r="T57">
        <v>787.1</v>
      </c>
      <c r="U57">
        <f t="shared" si="6"/>
        <v>1.8456055495450208E-3</v>
      </c>
      <c r="V57">
        <f t="shared" si="15"/>
        <v>23.482170762892444</v>
      </c>
      <c r="W57">
        <f t="shared" si="7"/>
        <v>-4.0374882589870598E-4</v>
      </c>
      <c r="Y57" s="1">
        <v>45798</v>
      </c>
      <c r="Z57" s="2">
        <v>1568.5</v>
      </c>
      <c r="AA57" s="4">
        <f t="shared" si="8"/>
        <v>5.0621555811867815E-3</v>
      </c>
      <c r="AB57">
        <f t="shared" si="16"/>
        <v>19.558465113642796</v>
      </c>
      <c r="AC57">
        <f t="shared" si="9"/>
        <v>6.1937015208321164E-3</v>
      </c>
      <c r="AE57">
        <f t="shared" si="10"/>
        <v>109.9766662108447</v>
      </c>
      <c r="AF57">
        <f t="shared" si="11"/>
        <v>5.3265095249670491E-3</v>
      </c>
      <c r="AH57">
        <v>-3.0693784498323801E-2</v>
      </c>
      <c r="AI57">
        <v>-2.2941953245164091E-2</v>
      </c>
      <c r="AJ57">
        <v>-2.0413669297557394E-2</v>
      </c>
      <c r="AK57">
        <v>-1.4010360664751932E-2</v>
      </c>
      <c r="AL57">
        <v>1.644432207115494E-3</v>
      </c>
    </row>
    <row r="58" spans="1:45" x14ac:dyDescent="0.3">
      <c r="A58" s="1">
        <v>45799</v>
      </c>
      <c r="B58">
        <v>985.85</v>
      </c>
      <c r="C58">
        <f t="shared" si="0"/>
        <v>-1.0687405920722506E-2</v>
      </c>
      <c r="D58">
        <f t="shared" si="12"/>
        <v>20.646073298429318</v>
      </c>
      <c r="E58">
        <f t="shared" si="1"/>
        <v>-1.1746081937784021E-2</v>
      </c>
      <c r="G58" s="1">
        <v>45799</v>
      </c>
      <c r="H58">
        <v>395.6</v>
      </c>
      <c r="I58">
        <f t="shared" si="2"/>
        <v>-1.5553067064825182E-2</v>
      </c>
      <c r="J58">
        <f t="shared" si="13"/>
        <v>29.960967084182947</v>
      </c>
      <c r="K58">
        <f t="shared" si="3"/>
        <v>-1.6074045058825259E-2</v>
      </c>
      <c r="M58" s="1">
        <v>45799</v>
      </c>
      <c r="N58" s="2">
        <v>11680</v>
      </c>
      <c r="O58">
        <f t="shared" si="4"/>
        <v>1.2000685753471626E-3</v>
      </c>
      <c r="P58">
        <f t="shared" si="14"/>
        <v>15.651366575258557</v>
      </c>
      <c r="Q58">
        <f t="shared" si="5"/>
        <v>2.3480232917714636E-4</v>
      </c>
      <c r="S58" s="1">
        <v>45799</v>
      </c>
      <c r="T58">
        <v>785.25</v>
      </c>
      <c r="U58">
        <f t="shared" si="6"/>
        <v>-2.3504002032778844E-3</v>
      </c>
      <c r="V58">
        <f t="shared" si="15"/>
        <v>23.426978263957935</v>
      </c>
      <c r="W58">
        <f t="shared" si="7"/>
        <v>-4.5997545787216116E-3</v>
      </c>
      <c r="Y58" s="1">
        <v>45799</v>
      </c>
      <c r="Z58" s="2">
        <v>1547.5</v>
      </c>
      <c r="AA58" s="4">
        <f t="shared" si="8"/>
        <v>-1.33885878227606E-2</v>
      </c>
      <c r="AB58">
        <f t="shared" si="16"/>
        <v>19.296604885790391</v>
      </c>
      <c r="AC58">
        <f t="shared" si="9"/>
        <v>-1.2257041883115265E-2</v>
      </c>
      <c r="AE58">
        <f t="shared" si="10"/>
        <v>108.98199010761914</v>
      </c>
      <c r="AF58">
        <f t="shared" si="11"/>
        <v>-9.0444285819556436E-3</v>
      </c>
      <c r="AH58">
        <v>1.1696037128931629E-2</v>
      </c>
      <c r="AI58">
        <v>6.748103344513607E-3</v>
      </c>
      <c r="AJ58">
        <v>-3.6155184475891835E-3</v>
      </c>
      <c r="AK58">
        <v>-4.0374882589870598E-4</v>
      </c>
      <c r="AL58">
        <v>6.1937015208321164E-3</v>
      </c>
      <c r="AO58" s="21" t="s">
        <v>23</v>
      </c>
      <c r="AP58" s="22" t="s">
        <v>30</v>
      </c>
      <c r="AQ58" s="23" t="s">
        <v>25</v>
      </c>
      <c r="AR58" s="24" t="s">
        <v>28</v>
      </c>
      <c r="AS58" s="25" t="s">
        <v>29</v>
      </c>
    </row>
    <row r="59" spans="1:45" x14ac:dyDescent="0.3">
      <c r="A59" s="1">
        <v>45800</v>
      </c>
      <c r="B59">
        <v>986.95</v>
      </c>
      <c r="C59">
        <f t="shared" si="0"/>
        <v>1.1157884059441322E-3</v>
      </c>
      <c r="D59">
        <f t="shared" si="12"/>
        <v>20.669109947643978</v>
      </c>
      <c r="E59">
        <f t="shared" si="1"/>
        <v>5.7112388882617085E-5</v>
      </c>
      <c r="G59" s="1">
        <v>45800</v>
      </c>
      <c r="H59">
        <v>402.05</v>
      </c>
      <c r="I59">
        <f t="shared" si="2"/>
        <v>1.6304347826086928E-2</v>
      </c>
      <c r="J59">
        <f t="shared" si="13"/>
        <v>30.449461112729406</v>
      </c>
      <c r="K59">
        <f t="shared" si="3"/>
        <v>1.5783369832086849E-2</v>
      </c>
      <c r="M59" s="1">
        <v>45800</v>
      </c>
      <c r="N59" s="2">
        <v>11746</v>
      </c>
      <c r="O59">
        <f t="shared" si="4"/>
        <v>5.6506849315068495E-3</v>
      </c>
      <c r="P59">
        <f t="shared" si="14"/>
        <v>15.739807516522859</v>
      </c>
      <c r="Q59">
        <f t="shared" si="5"/>
        <v>4.6854186853368335E-3</v>
      </c>
      <c r="S59" s="1">
        <v>45800</v>
      </c>
      <c r="T59">
        <v>790.5</v>
      </c>
      <c r="U59">
        <f t="shared" si="6"/>
        <v>6.6857688634192934E-3</v>
      </c>
      <c r="V59">
        <f t="shared" si="15"/>
        <v>23.583605625799102</v>
      </c>
      <c r="W59">
        <f t="shared" si="7"/>
        <v>4.4364144879755667E-3</v>
      </c>
      <c r="Y59" s="1">
        <v>45800</v>
      </c>
      <c r="Z59" s="2">
        <v>1564.8</v>
      </c>
      <c r="AA59" s="4">
        <f t="shared" si="8"/>
        <v>1.1179321486268145E-2</v>
      </c>
      <c r="AB59">
        <f t="shared" si="16"/>
        <v>19.512327835402132</v>
      </c>
      <c r="AC59">
        <f t="shared" si="9"/>
        <v>1.2310867425913479E-2</v>
      </c>
      <c r="AE59">
        <f t="shared" si="10"/>
        <v>109.95431203809747</v>
      </c>
      <c r="AF59">
        <f t="shared" si="11"/>
        <v>8.9218588274830868E-3</v>
      </c>
      <c r="AH59">
        <v>-1.1746081937784021E-2</v>
      </c>
      <c r="AI59">
        <v>-1.6074045058825259E-2</v>
      </c>
      <c r="AJ59">
        <v>2.3480232917714636E-4</v>
      </c>
      <c r="AK59">
        <v>-4.5997545787216116E-3</v>
      </c>
      <c r="AL59">
        <v>-1.2257041883115265E-2</v>
      </c>
      <c r="AN59" s="21" t="s">
        <v>23</v>
      </c>
      <c r="AO59" s="30">
        <v>0.99593495934959408</v>
      </c>
      <c r="AP59" s="15">
        <v>0.61774293112141987</v>
      </c>
      <c r="AQ59" s="15">
        <v>0.36927708419645983</v>
      </c>
      <c r="AR59" s="15">
        <v>0.36280650151682209</v>
      </c>
      <c r="AS59" s="15">
        <v>0.13745417219426026</v>
      </c>
    </row>
    <row r="60" spans="1:45" x14ac:dyDescent="0.3">
      <c r="A60" s="1">
        <v>45803</v>
      </c>
      <c r="B60" s="2">
        <v>1011.85</v>
      </c>
      <c r="C60">
        <f t="shared" si="0"/>
        <v>2.5229241602918055E-2</v>
      </c>
      <c r="D60">
        <f t="shared" si="12"/>
        <v>21.190575916230365</v>
      </c>
      <c r="E60">
        <f t="shared" si="1"/>
        <v>2.4170565585856542E-2</v>
      </c>
      <c r="G60" s="1">
        <v>45803</v>
      </c>
      <c r="H60">
        <v>402.6</v>
      </c>
      <c r="I60">
        <f t="shared" si="2"/>
        <v>1.3679890560875795E-3</v>
      </c>
      <c r="J60">
        <f t="shared" si="13"/>
        <v>30.491115642295384</v>
      </c>
      <c r="K60">
        <f t="shared" si="3"/>
        <v>8.4701106208750175E-4</v>
      </c>
      <c r="M60" s="1">
        <v>45803</v>
      </c>
      <c r="N60" s="2">
        <v>11689</v>
      </c>
      <c r="O60">
        <f t="shared" si="4"/>
        <v>-4.8527158181508601E-3</v>
      </c>
      <c r="P60">
        <f t="shared" si="14"/>
        <v>15.66342670361278</v>
      </c>
      <c r="Q60">
        <f t="shared" si="5"/>
        <v>-5.8179820643208761E-3</v>
      </c>
      <c r="S60" s="1">
        <v>45803</v>
      </c>
      <c r="T60">
        <v>794.4</v>
      </c>
      <c r="U60">
        <f t="shared" si="6"/>
        <v>4.933586337760882E-3</v>
      </c>
      <c r="V60">
        <f t="shared" si="15"/>
        <v>23.699957380309684</v>
      </c>
      <c r="W60">
        <f t="shared" si="7"/>
        <v>2.6842319623171552E-3</v>
      </c>
      <c r="Y60" s="1">
        <v>45803</v>
      </c>
      <c r="Z60" s="2">
        <v>1580.5</v>
      </c>
      <c r="AA60" s="4">
        <f t="shared" si="8"/>
        <v>1.003323108384461E-2</v>
      </c>
      <c r="AB60">
        <f t="shared" si="16"/>
        <v>19.708099529558456</v>
      </c>
      <c r="AC60">
        <f t="shared" si="9"/>
        <v>1.1164777023489945E-2</v>
      </c>
      <c r="AE60">
        <f t="shared" si="10"/>
        <v>110.75317517200665</v>
      </c>
      <c r="AF60">
        <f t="shared" si="11"/>
        <v>7.265409778857812E-3</v>
      </c>
      <c r="AH60">
        <v>5.7112388882617085E-5</v>
      </c>
      <c r="AI60">
        <v>1.5783369832086849E-2</v>
      </c>
      <c r="AJ60">
        <v>4.6854186853368335E-3</v>
      </c>
      <c r="AK60">
        <v>4.4364144879755667E-3</v>
      </c>
      <c r="AL60">
        <v>1.2310867425913479E-2</v>
      </c>
      <c r="AN60" s="22" t="s">
        <v>30</v>
      </c>
      <c r="AO60" s="15">
        <v>0.61774293112141987</v>
      </c>
      <c r="AP60" s="30">
        <v>0.99593495934959386</v>
      </c>
      <c r="AQ60" s="15">
        <v>0.45472096521883676</v>
      </c>
      <c r="AR60" s="15">
        <v>0.48484823919720688</v>
      </c>
      <c r="AS60" s="15">
        <v>0.19995089202164545</v>
      </c>
    </row>
    <row r="61" spans="1:45" x14ac:dyDescent="0.3">
      <c r="A61" s="1">
        <v>45804</v>
      </c>
      <c r="B61" s="2">
        <v>1013</v>
      </c>
      <c r="C61">
        <f t="shared" si="0"/>
        <v>1.1365320946780425E-3</v>
      </c>
      <c r="D61">
        <f t="shared" si="12"/>
        <v>21.214659685863875</v>
      </c>
      <c r="E61">
        <f t="shared" si="1"/>
        <v>7.7856077616527417E-5</v>
      </c>
      <c r="G61" s="1">
        <v>45804</v>
      </c>
      <c r="H61">
        <v>402.2</v>
      </c>
      <c r="I61">
        <f t="shared" si="2"/>
        <v>-9.9354197714861909E-4</v>
      </c>
      <c r="J61">
        <f t="shared" si="13"/>
        <v>30.460821438974669</v>
      </c>
      <c r="K61">
        <f t="shared" si="3"/>
        <v>-1.5145199711486968E-3</v>
      </c>
      <c r="M61" s="1">
        <v>45804</v>
      </c>
      <c r="N61" s="2">
        <v>11421</v>
      </c>
      <c r="O61">
        <f t="shared" si="4"/>
        <v>-2.2927538711609206E-2</v>
      </c>
      <c r="P61">
        <f t="shared" si="14"/>
        <v>15.304302881509244</v>
      </c>
      <c r="Q61">
        <f t="shared" si="5"/>
        <v>-2.3892804957779224E-2</v>
      </c>
      <c r="S61" s="1">
        <v>45804</v>
      </c>
      <c r="T61">
        <v>793.7</v>
      </c>
      <c r="U61">
        <f t="shared" si="6"/>
        <v>-8.8116817724059892E-4</v>
      </c>
      <c r="V61">
        <f t="shared" si="15"/>
        <v>23.679073732064197</v>
      </c>
      <c r="W61">
        <f t="shared" si="7"/>
        <v>-3.1305225526843256E-3</v>
      </c>
      <c r="Y61" s="1">
        <v>45804</v>
      </c>
      <c r="Z61" s="2">
        <v>1570.1</v>
      </c>
      <c r="AA61" s="4">
        <f t="shared" si="8"/>
        <v>-6.5801961404619363E-3</v>
      </c>
      <c r="AB61">
        <f t="shared" si="16"/>
        <v>19.578416369098218</v>
      </c>
      <c r="AC61">
        <f t="shared" si="9"/>
        <v>-5.4486502008166023E-3</v>
      </c>
      <c r="AE61">
        <f t="shared" si="10"/>
        <v>110.2372741075102</v>
      </c>
      <c r="AF61">
        <f t="shared" si="11"/>
        <v>-4.6581153424740673E-3</v>
      </c>
      <c r="AH61">
        <v>2.4170565585856542E-2</v>
      </c>
      <c r="AI61">
        <v>8.4701106208750175E-4</v>
      </c>
      <c r="AJ61">
        <v>-5.8179820643208761E-3</v>
      </c>
      <c r="AK61">
        <v>2.6842319623171552E-3</v>
      </c>
      <c r="AL61">
        <v>1.1164777023489945E-2</v>
      </c>
      <c r="AN61" s="23" t="s">
        <v>25</v>
      </c>
      <c r="AO61" s="15">
        <v>0.36927708419645983</v>
      </c>
      <c r="AP61" s="15">
        <v>0.45472096521883676</v>
      </c>
      <c r="AQ61" s="30">
        <v>0.99593495934959397</v>
      </c>
      <c r="AR61" s="15">
        <v>0.35268856998270981</v>
      </c>
      <c r="AS61" s="15">
        <v>0.12519938444764542</v>
      </c>
    </row>
    <row r="62" spans="1:45" x14ac:dyDescent="0.3">
      <c r="A62" s="1">
        <v>45805</v>
      </c>
      <c r="B62" s="2">
        <v>1001.85</v>
      </c>
      <c r="C62">
        <f t="shared" si="0"/>
        <v>-1.1006910167818339E-2</v>
      </c>
      <c r="D62">
        <f t="shared" si="12"/>
        <v>20.981151832460736</v>
      </c>
      <c r="E62">
        <f t="shared" si="1"/>
        <v>-1.2065586184879854E-2</v>
      </c>
      <c r="G62" s="1">
        <v>45805</v>
      </c>
      <c r="H62">
        <v>396.35</v>
      </c>
      <c r="I62">
        <f t="shared" si="2"/>
        <v>-1.4545002486325127E-2</v>
      </c>
      <c r="J62">
        <f t="shared" si="13"/>
        <v>30.017768715409275</v>
      </c>
      <c r="K62">
        <f t="shared" si="3"/>
        <v>-1.5065980480325205E-2</v>
      </c>
      <c r="M62" s="1">
        <v>45805</v>
      </c>
      <c r="N62" s="2">
        <v>11238</v>
      </c>
      <c r="O62">
        <f t="shared" si="4"/>
        <v>-1.6023115313895456E-2</v>
      </c>
      <c r="P62">
        <f t="shared" si="14"/>
        <v>15.05908027164004</v>
      </c>
      <c r="Q62">
        <f t="shared" si="5"/>
        <v>-1.6988381560065473E-2</v>
      </c>
      <c r="S62" s="1">
        <v>45805</v>
      </c>
      <c r="T62">
        <v>796.55</v>
      </c>
      <c r="U62">
        <f t="shared" si="6"/>
        <v>3.5907773718028336E-3</v>
      </c>
      <c r="V62">
        <f t="shared" si="15"/>
        <v>23.764100014206544</v>
      </c>
      <c r="W62">
        <f t="shared" si="7"/>
        <v>1.3414229963591069E-3</v>
      </c>
      <c r="Y62" s="1">
        <v>45805</v>
      </c>
      <c r="Z62" s="2">
        <v>1571.8</v>
      </c>
      <c r="AA62" s="4">
        <f t="shared" si="8"/>
        <v>1.0827335838481916E-3</v>
      </c>
      <c r="AB62">
        <f t="shared" si="16"/>
        <v>19.599614578019601</v>
      </c>
      <c r="AC62">
        <f t="shared" si="9"/>
        <v>2.2142795234935259E-3</v>
      </c>
      <c r="AE62">
        <f t="shared" si="10"/>
        <v>109.4217154117362</v>
      </c>
      <c r="AF62">
        <f t="shared" si="11"/>
        <v>-7.3982117425963612E-3</v>
      </c>
      <c r="AH62">
        <v>7.7856077616527417E-5</v>
      </c>
      <c r="AI62">
        <v>-1.5145199711486968E-3</v>
      </c>
      <c r="AJ62">
        <v>-2.3892804957779224E-2</v>
      </c>
      <c r="AK62">
        <v>-3.1305225526843256E-3</v>
      </c>
      <c r="AL62">
        <v>-5.4486502008166023E-3</v>
      </c>
      <c r="AN62" s="24" t="s">
        <v>28</v>
      </c>
      <c r="AO62" s="15">
        <v>0.36280650151682209</v>
      </c>
      <c r="AP62" s="15">
        <v>0.48484823919720688</v>
      </c>
      <c r="AQ62" s="15">
        <v>0.35268856998270981</v>
      </c>
      <c r="AR62" s="30">
        <v>0.99593495934959364</v>
      </c>
      <c r="AS62" s="15">
        <v>0.15353123966612217</v>
      </c>
    </row>
    <row r="63" spans="1:45" x14ac:dyDescent="0.3">
      <c r="A63" s="1">
        <v>45806</v>
      </c>
      <c r="B63" s="2">
        <v>1019.05</v>
      </c>
      <c r="C63">
        <f t="shared" si="0"/>
        <v>1.716823875829708E-2</v>
      </c>
      <c r="D63">
        <f t="shared" si="12"/>
        <v>21.341361256544502</v>
      </c>
      <c r="E63">
        <f t="shared" si="1"/>
        <v>1.6109562741235567E-2</v>
      </c>
      <c r="G63" s="1">
        <v>45806</v>
      </c>
      <c r="H63">
        <v>397.3</v>
      </c>
      <c r="I63">
        <f t="shared" si="2"/>
        <v>2.3968714519994666E-3</v>
      </c>
      <c r="J63">
        <f t="shared" si="13"/>
        <v>30.089717448295964</v>
      </c>
      <c r="K63">
        <f t="shared" si="3"/>
        <v>1.8758934579993889E-3</v>
      </c>
      <c r="M63" s="1">
        <v>45806</v>
      </c>
      <c r="N63" s="2">
        <v>11269</v>
      </c>
      <c r="O63">
        <f t="shared" si="4"/>
        <v>2.7584979533724864E-3</v>
      </c>
      <c r="P63">
        <f t="shared" si="14"/>
        <v>15.100620713749032</v>
      </c>
      <c r="Q63">
        <f t="shared" si="5"/>
        <v>1.7932317072024701E-3</v>
      </c>
      <c r="S63" s="1">
        <v>45806</v>
      </c>
      <c r="T63">
        <v>797.35</v>
      </c>
      <c r="U63">
        <f t="shared" si="6"/>
        <v>1.0043311782060992E-3</v>
      </c>
      <c r="V63">
        <f t="shared" si="15"/>
        <v>23.787967040772823</v>
      </c>
      <c r="W63">
        <f t="shared" si="7"/>
        <v>-1.2450231972376275E-3</v>
      </c>
      <c r="Y63" s="1">
        <v>45806</v>
      </c>
      <c r="Z63" s="2">
        <v>1585.6</v>
      </c>
      <c r="AA63" s="4">
        <f t="shared" si="8"/>
        <v>8.7797429698434626E-3</v>
      </c>
      <c r="AB63">
        <f t="shared" si="16"/>
        <v>19.77169415632261</v>
      </c>
      <c r="AC63">
        <f t="shared" si="9"/>
        <v>9.9112889094887975E-3</v>
      </c>
      <c r="AE63">
        <f t="shared" si="10"/>
        <v>110.09136061568493</v>
      </c>
      <c r="AF63">
        <f t="shared" si="11"/>
        <v>6.1198565698679097E-3</v>
      </c>
      <c r="AH63">
        <v>-1.2065586184879854E-2</v>
      </c>
      <c r="AI63">
        <v>-1.5065980480325205E-2</v>
      </c>
      <c r="AJ63">
        <v>-1.6988381560065473E-2</v>
      </c>
      <c r="AK63">
        <v>1.3414229963591069E-3</v>
      </c>
      <c r="AL63">
        <v>2.2142795234935259E-3</v>
      </c>
      <c r="AN63" s="25" t="s">
        <v>29</v>
      </c>
      <c r="AO63" s="15">
        <v>0.13745417219426026</v>
      </c>
      <c r="AP63" s="15">
        <v>0.19995089202164545</v>
      </c>
      <c r="AQ63" s="15">
        <v>0.12519938444764542</v>
      </c>
      <c r="AR63" s="15">
        <v>0.15353123966612217</v>
      </c>
      <c r="AS63" s="30">
        <v>1.0000000000000007</v>
      </c>
    </row>
    <row r="64" spans="1:45" x14ac:dyDescent="0.3">
      <c r="A64" s="1">
        <v>45807</v>
      </c>
      <c r="B64" s="2">
        <v>1014.35</v>
      </c>
      <c r="C64">
        <f t="shared" si="0"/>
        <v>-4.6121387566850809E-3</v>
      </c>
      <c r="D64">
        <f t="shared" si="12"/>
        <v>21.242931937172777</v>
      </c>
      <c r="E64">
        <f t="shared" si="1"/>
        <v>-5.670814773746596E-3</v>
      </c>
      <c r="G64" s="1">
        <v>45807</v>
      </c>
      <c r="H64">
        <v>392.8</v>
      </c>
      <c r="I64">
        <f t="shared" si="2"/>
        <v>-1.1326453561540398E-2</v>
      </c>
      <c r="J64">
        <f t="shared" si="13"/>
        <v>29.74890766093797</v>
      </c>
      <c r="K64">
        <f t="shared" si="3"/>
        <v>-1.1847431555540475E-2</v>
      </c>
      <c r="M64" s="1">
        <v>45807</v>
      </c>
      <c r="N64" s="2">
        <v>11210</v>
      </c>
      <c r="O64">
        <f t="shared" si="4"/>
        <v>-5.235602094240838E-3</v>
      </c>
      <c r="P64">
        <f t="shared" si="14"/>
        <v>15.021559872315793</v>
      </c>
      <c r="Q64">
        <f t="shared" si="5"/>
        <v>-6.200868340410854E-3</v>
      </c>
      <c r="S64" s="1">
        <v>45807</v>
      </c>
      <c r="T64">
        <v>812.3</v>
      </c>
      <c r="U64">
        <f t="shared" si="6"/>
        <v>1.8749608076754163E-2</v>
      </c>
      <c r="V64">
        <f t="shared" si="15"/>
        <v>24.23398209973006</v>
      </c>
      <c r="W64">
        <f t="shared" si="7"/>
        <v>1.6500253701310436E-2</v>
      </c>
      <c r="Y64" s="1">
        <v>45807</v>
      </c>
      <c r="Z64" s="2">
        <v>1562.7</v>
      </c>
      <c r="AA64" s="4">
        <f t="shared" si="8"/>
        <v>-1.4442482341069542E-2</v>
      </c>
      <c r="AB64">
        <f t="shared" si="16"/>
        <v>19.486141812616893</v>
      </c>
      <c r="AC64">
        <f t="shared" si="9"/>
        <v>-1.3310936401424207E-2</v>
      </c>
      <c r="AE64">
        <f t="shared" si="10"/>
        <v>109.73352338277348</v>
      </c>
      <c r="AF64">
        <f t="shared" si="11"/>
        <v>-3.2503661587089949E-3</v>
      </c>
      <c r="AH64">
        <v>1.6109562741235567E-2</v>
      </c>
      <c r="AI64">
        <v>1.8758934579993889E-3</v>
      </c>
      <c r="AJ64">
        <v>1.7932317072024701E-3</v>
      </c>
      <c r="AK64">
        <v>-1.2450231972376275E-3</v>
      </c>
      <c r="AL64">
        <v>9.9112889094887975E-3</v>
      </c>
    </row>
    <row r="65" spans="1:44" x14ac:dyDescent="0.3">
      <c r="A65" s="1">
        <v>45810</v>
      </c>
      <c r="B65" s="2">
        <v>1009.1</v>
      </c>
      <c r="C65">
        <f t="shared" si="0"/>
        <v>-5.1757282989106325E-3</v>
      </c>
      <c r="D65">
        <f t="shared" si="12"/>
        <v>21.132984293193719</v>
      </c>
      <c r="E65">
        <f t="shared" si="1"/>
        <v>-6.2344043159721476E-3</v>
      </c>
      <c r="G65" s="1">
        <v>45810</v>
      </c>
      <c r="H65">
        <v>396.85</v>
      </c>
      <c r="I65">
        <f t="shared" si="2"/>
        <v>1.0310590631364591E-2</v>
      </c>
      <c r="J65">
        <f t="shared" si="13"/>
        <v>30.055636469560167</v>
      </c>
      <c r="K65">
        <f t="shared" si="3"/>
        <v>9.7896126373645132E-3</v>
      </c>
      <c r="M65" s="1">
        <v>45810</v>
      </c>
      <c r="N65" s="2">
        <v>11195</v>
      </c>
      <c r="O65">
        <f t="shared" si="4"/>
        <v>-1.3380909901873326E-3</v>
      </c>
      <c r="P65">
        <f t="shared" si="14"/>
        <v>15.001459658392088</v>
      </c>
      <c r="Q65">
        <f t="shared" si="5"/>
        <v>-2.3033572363573489E-3</v>
      </c>
      <c r="S65" s="1">
        <v>45810</v>
      </c>
      <c r="T65">
        <v>813.65</v>
      </c>
      <c r="U65">
        <f t="shared" si="6"/>
        <v>1.6619475563215841E-3</v>
      </c>
      <c r="V65">
        <f t="shared" si="15"/>
        <v>24.274257707060645</v>
      </c>
      <c r="W65">
        <f t="shared" si="7"/>
        <v>-5.8740681912214268E-4</v>
      </c>
      <c r="Y65" s="1">
        <v>45810</v>
      </c>
      <c r="Z65" s="2">
        <v>1553.8</v>
      </c>
      <c r="AA65" s="4">
        <f t="shared" si="8"/>
        <v>-5.6952710053113781E-3</v>
      </c>
      <c r="AB65">
        <f t="shared" si="16"/>
        <v>19.375162954146109</v>
      </c>
      <c r="AC65">
        <f t="shared" si="9"/>
        <v>-4.5637250656660432E-3</v>
      </c>
      <c r="AE65">
        <f t="shared" si="10"/>
        <v>109.83950108235273</v>
      </c>
      <c r="AF65">
        <f t="shared" si="11"/>
        <v>9.6577323239288582E-4</v>
      </c>
      <c r="AH65">
        <v>-5.670814773746596E-3</v>
      </c>
      <c r="AI65">
        <v>-1.1847431555540475E-2</v>
      </c>
      <c r="AJ65">
        <v>-6.200868340410854E-3</v>
      </c>
      <c r="AK65">
        <v>1.6500253701310436E-2</v>
      </c>
      <c r="AL65">
        <v>-1.3310936401424207E-2</v>
      </c>
    </row>
    <row r="66" spans="1:44" x14ac:dyDescent="0.3">
      <c r="A66" s="1">
        <v>45811</v>
      </c>
      <c r="B66">
        <v>992.6</v>
      </c>
      <c r="C66">
        <f t="shared" si="0"/>
        <v>-1.6351204043206818E-2</v>
      </c>
      <c r="D66">
        <f t="shared" si="12"/>
        <v>20.787434554973824</v>
      </c>
      <c r="E66">
        <f t="shared" si="1"/>
        <v>-1.7409880060268335E-2</v>
      </c>
      <c r="G66" s="1">
        <v>45811</v>
      </c>
      <c r="H66">
        <v>391.5</v>
      </c>
      <c r="I66">
        <f t="shared" si="2"/>
        <v>-1.3481164167821651E-2</v>
      </c>
      <c r="J66">
        <f t="shared" si="13"/>
        <v>29.65045150014566</v>
      </c>
      <c r="K66">
        <f t="shared" si="3"/>
        <v>-1.4002142161821728E-2</v>
      </c>
      <c r="M66" s="1">
        <v>45811</v>
      </c>
      <c r="N66" s="2">
        <v>11035</v>
      </c>
      <c r="O66">
        <f t="shared" si="4"/>
        <v>-1.4292094685127288E-2</v>
      </c>
      <c r="P66">
        <f t="shared" si="14"/>
        <v>14.787057376539231</v>
      </c>
      <c r="Q66">
        <f t="shared" si="5"/>
        <v>-1.5257360931297304E-2</v>
      </c>
      <c r="S66" s="1">
        <v>45811</v>
      </c>
      <c r="T66">
        <v>809.8</v>
      </c>
      <c r="U66">
        <f t="shared" si="6"/>
        <v>-4.731764272107199E-3</v>
      </c>
      <c r="V66">
        <f t="shared" si="15"/>
        <v>24.159397641710452</v>
      </c>
      <c r="W66">
        <f t="shared" si="7"/>
        <v>-6.9811186475509258E-3</v>
      </c>
      <c r="Y66" s="1">
        <v>45811</v>
      </c>
      <c r="Z66" s="2">
        <v>1543</v>
      </c>
      <c r="AA66" s="4">
        <f t="shared" si="8"/>
        <v>-6.9507015059852972E-3</v>
      </c>
      <c r="AB66">
        <f t="shared" si="16"/>
        <v>19.240491979822014</v>
      </c>
      <c r="AC66">
        <f t="shared" si="9"/>
        <v>-5.8191555663399622E-3</v>
      </c>
      <c r="AE66">
        <f t="shared" si="10"/>
        <v>108.62483305319118</v>
      </c>
      <c r="AF66">
        <f t="shared" si="11"/>
        <v>-1.1058571981775844E-2</v>
      </c>
      <c r="AH66">
        <v>-6.2344043159721476E-3</v>
      </c>
      <c r="AI66">
        <v>9.7896126373645132E-3</v>
      </c>
      <c r="AJ66">
        <v>-2.3033572363573489E-3</v>
      </c>
      <c r="AK66">
        <v>-5.8740681912214268E-4</v>
      </c>
      <c r="AL66">
        <v>-4.5637250656660432E-3</v>
      </c>
      <c r="AO66" s="28" t="s">
        <v>9</v>
      </c>
      <c r="AP66" s="28" t="s">
        <v>38</v>
      </c>
    </row>
    <row r="67" spans="1:44" x14ac:dyDescent="0.3">
      <c r="A67" s="1">
        <v>45812</v>
      </c>
      <c r="B67" s="2">
        <v>1004.8</v>
      </c>
      <c r="C67">
        <f t="shared" si="0"/>
        <v>1.2290953052589091E-2</v>
      </c>
      <c r="D67">
        <f t="shared" si="12"/>
        <v>21.042931937172774</v>
      </c>
      <c r="E67">
        <f t="shared" si="1"/>
        <v>1.1232277035527576E-2</v>
      </c>
      <c r="G67" s="1">
        <v>45812</v>
      </c>
      <c r="H67">
        <v>393.65</v>
      </c>
      <c r="I67">
        <f t="shared" si="2"/>
        <v>5.4916985951468126E-3</v>
      </c>
      <c r="J67">
        <f t="shared" si="13"/>
        <v>29.813282842994479</v>
      </c>
      <c r="K67">
        <f t="shared" si="3"/>
        <v>4.9707206011467345E-3</v>
      </c>
      <c r="M67" s="1">
        <v>45812</v>
      </c>
      <c r="N67" s="2">
        <v>11033</v>
      </c>
      <c r="O67">
        <f t="shared" si="4"/>
        <v>-1.8124150430448574E-4</v>
      </c>
      <c r="P67">
        <f t="shared" si="14"/>
        <v>14.784377348016069</v>
      </c>
      <c r="Q67">
        <f t="shared" si="5"/>
        <v>-1.1465077504745019E-3</v>
      </c>
      <c r="S67" s="1">
        <v>45812</v>
      </c>
      <c r="T67">
        <v>806.5</v>
      </c>
      <c r="U67">
        <f t="shared" si="6"/>
        <v>-4.0750802667324703E-3</v>
      </c>
      <c r="V67">
        <f t="shared" si="15"/>
        <v>24.060946157124576</v>
      </c>
      <c r="W67">
        <f t="shared" si="7"/>
        <v>-6.3244346421761971E-3</v>
      </c>
      <c r="Y67" s="1">
        <v>45812</v>
      </c>
      <c r="Z67" s="2">
        <v>1551.2</v>
      </c>
      <c r="AA67" s="4">
        <f t="shared" si="8"/>
        <v>5.3143227478937433E-3</v>
      </c>
      <c r="AB67">
        <f t="shared" si="16"/>
        <v>19.342742164031051</v>
      </c>
      <c r="AC67">
        <f t="shared" si="9"/>
        <v>6.4458686875390782E-3</v>
      </c>
      <c r="AE67">
        <f t="shared" si="10"/>
        <v>109.04428044933894</v>
      </c>
      <c r="AF67">
        <f t="shared" si="11"/>
        <v>3.8614319061127667E-3</v>
      </c>
      <c r="AH67">
        <v>-1.7409880060268335E-2</v>
      </c>
      <c r="AI67">
        <v>-1.4002142161821728E-2</v>
      </c>
      <c r="AJ67">
        <v>-1.5257360931297304E-2</v>
      </c>
      <c r="AK67">
        <v>-6.9811186475509258E-3</v>
      </c>
      <c r="AL67">
        <v>-5.8191555663399622E-3</v>
      </c>
      <c r="AN67" s="21" t="s">
        <v>23</v>
      </c>
      <c r="AO67">
        <v>0.17</v>
      </c>
      <c r="AP67" s="3">
        <f>AO67*AO41</f>
        <v>4.5768759903522327E-3</v>
      </c>
    </row>
    <row r="68" spans="1:44" x14ac:dyDescent="0.3">
      <c r="A68" s="1">
        <v>45813</v>
      </c>
      <c r="B68" s="2">
        <v>1003.6</v>
      </c>
      <c r="C68">
        <f t="shared" si="0"/>
        <v>-1.194267515923499E-3</v>
      </c>
      <c r="D68">
        <f t="shared" si="12"/>
        <v>21.017801047120418</v>
      </c>
      <c r="E68">
        <f t="shared" si="1"/>
        <v>-2.2529435329850141E-3</v>
      </c>
      <c r="G68" s="1">
        <v>45813</v>
      </c>
      <c r="H68">
        <v>393.55</v>
      </c>
      <c r="I68">
        <f t="shared" si="2"/>
        <v>-2.5403277022727271E-4</v>
      </c>
      <c r="J68">
        <f t="shared" si="13"/>
        <v>29.805709292164302</v>
      </c>
      <c r="K68">
        <f t="shared" si="3"/>
        <v>-7.7501076422735048E-4</v>
      </c>
      <c r="M68" s="1">
        <v>45813</v>
      </c>
      <c r="N68" s="2">
        <v>11159</v>
      </c>
      <c r="O68">
        <f t="shared" si="4"/>
        <v>1.1420284600743225E-2</v>
      </c>
      <c r="P68">
        <f t="shared" si="14"/>
        <v>14.953219144975193</v>
      </c>
      <c r="Q68">
        <f t="shared" si="5"/>
        <v>1.0455018354573209E-2</v>
      </c>
      <c r="S68" s="1">
        <v>45813</v>
      </c>
      <c r="T68">
        <v>806</v>
      </c>
      <c r="U68">
        <f t="shared" si="6"/>
        <v>-6.1996280223186606E-4</v>
      </c>
      <c r="V68">
        <f t="shared" si="15"/>
        <v>24.046029265520655</v>
      </c>
      <c r="W68">
        <f t="shared" si="7"/>
        <v>-2.8693171776755927E-3</v>
      </c>
      <c r="Y68" s="1">
        <v>45813</v>
      </c>
      <c r="Z68" s="2">
        <v>1554.3</v>
      </c>
      <c r="AA68" s="4">
        <f t="shared" si="8"/>
        <v>1.9984528107271204E-3</v>
      </c>
      <c r="AB68">
        <f t="shared" si="16"/>
        <v>19.381397721475928</v>
      </c>
      <c r="AC68">
        <f t="shared" si="9"/>
        <v>3.1299987503724549E-3</v>
      </c>
      <c r="AE68">
        <f t="shared" si="10"/>
        <v>109.2041564712565</v>
      </c>
      <c r="AF68">
        <f t="shared" si="11"/>
        <v>1.4661568791940471E-3</v>
      </c>
      <c r="AH68">
        <v>1.1232277035527576E-2</v>
      </c>
      <c r="AI68">
        <v>4.9707206011467345E-3</v>
      </c>
      <c r="AJ68">
        <v>-1.1465077504745019E-3</v>
      </c>
      <c r="AK68">
        <v>-6.3244346421761971E-3</v>
      </c>
      <c r="AL68">
        <v>6.4458686875390782E-3</v>
      </c>
      <c r="AN68" s="22" t="s">
        <v>30</v>
      </c>
      <c r="AO68">
        <v>0.26</v>
      </c>
      <c r="AP68" s="3">
        <f t="shared" ref="AP68:AP71" si="17">AO68*AO42</f>
        <v>3.5861195749938065E-3</v>
      </c>
    </row>
    <row r="69" spans="1:44" x14ac:dyDescent="0.3">
      <c r="A69" s="1">
        <v>45814</v>
      </c>
      <c r="B69" s="2">
        <v>1018.8</v>
      </c>
      <c r="C69">
        <f t="shared" si="0"/>
        <v>1.514547628537259E-2</v>
      </c>
      <c r="D69">
        <f t="shared" si="12"/>
        <v>21.33612565445026</v>
      </c>
      <c r="E69">
        <f t="shared" si="1"/>
        <v>1.4086800268311075E-2</v>
      </c>
      <c r="G69" s="1">
        <v>45814</v>
      </c>
      <c r="H69">
        <v>399.55</v>
      </c>
      <c r="I69">
        <f t="shared" si="2"/>
        <v>1.52458391563969E-2</v>
      </c>
      <c r="J69">
        <f t="shared" si="13"/>
        <v>30.260122341974967</v>
      </c>
      <c r="K69">
        <f t="shared" si="3"/>
        <v>1.4724861162396822E-2</v>
      </c>
      <c r="M69" s="1">
        <v>45814</v>
      </c>
      <c r="N69" s="2">
        <v>11253</v>
      </c>
      <c r="O69">
        <f t="shared" si="4"/>
        <v>8.4236938793798722E-3</v>
      </c>
      <c r="P69">
        <f t="shared" si="14"/>
        <v>15.079180485563747</v>
      </c>
      <c r="Q69">
        <f t="shared" si="5"/>
        <v>7.4584276332098562E-3</v>
      </c>
      <c r="S69" s="1">
        <v>45814</v>
      </c>
      <c r="T69">
        <v>813.05</v>
      </c>
      <c r="U69">
        <f t="shared" si="6"/>
        <v>8.7468982630272384E-3</v>
      </c>
      <c r="V69">
        <f t="shared" si="15"/>
        <v>24.256357437135939</v>
      </c>
      <c r="W69">
        <f t="shared" si="7"/>
        <v>6.4975438875835116E-3</v>
      </c>
      <c r="Y69" s="1">
        <v>45814</v>
      </c>
      <c r="Z69" s="2">
        <v>1563.8</v>
      </c>
      <c r="AA69" s="4">
        <f t="shared" si="8"/>
        <v>6.1120761757704435E-3</v>
      </c>
      <c r="AB69">
        <f t="shared" si="16"/>
        <v>19.499858300742492</v>
      </c>
      <c r="AC69">
        <f t="shared" si="9"/>
        <v>7.2436221154157775E-3</v>
      </c>
      <c r="AE69">
        <f t="shared" si="10"/>
        <v>110.43164421986741</v>
      </c>
      <c r="AF69">
        <f t="shared" si="11"/>
        <v>1.1240302459861073E-2</v>
      </c>
      <c r="AH69">
        <v>-2.2529435329850141E-3</v>
      </c>
      <c r="AI69">
        <v>-7.7501076422735048E-4</v>
      </c>
      <c r="AJ69">
        <v>1.0455018354573209E-2</v>
      </c>
      <c r="AK69">
        <v>-2.8693171776755927E-3</v>
      </c>
      <c r="AL69">
        <v>3.1299987503724549E-3</v>
      </c>
      <c r="AN69" s="23" t="s">
        <v>25</v>
      </c>
      <c r="AO69">
        <v>0.14000000000000001</v>
      </c>
      <c r="AP69" s="3">
        <f t="shared" si="17"/>
        <v>1.5829845891931547E-3</v>
      </c>
    </row>
    <row r="70" spans="1:44" x14ac:dyDescent="0.3">
      <c r="A70" s="1">
        <v>45817</v>
      </c>
      <c r="B70" s="2">
        <v>1034.3</v>
      </c>
      <c r="C70">
        <f t="shared" ref="C70:C133" si="18">(B70-B69)/B69</f>
        <v>1.5213977228111504E-2</v>
      </c>
      <c r="D70">
        <f t="shared" si="12"/>
        <v>21.66073298429319</v>
      </c>
      <c r="E70">
        <f t="shared" ref="E70:E133" si="19">C70-$C$252</f>
        <v>1.4155301211049989E-2</v>
      </c>
      <c r="G70" s="1">
        <v>45817</v>
      </c>
      <c r="H70">
        <v>406.2</v>
      </c>
      <c r="I70">
        <f t="shared" ref="I70:I133" si="20">(H70-H69)/H69</f>
        <v>1.6643724189713369E-2</v>
      </c>
      <c r="J70">
        <f t="shared" si="13"/>
        <v>30.763763472181779</v>
      </c>
      <c r="K70">
        <f t="shared" ref="K70:K133" si="21">I70-$I$252</f>
        <v>1.612274619571329E-2</v>
      </c>
      <c r="M70" s="1">
        <v>45817</v>
      </c>
      <c r="N70" s="2">
        <v>11260</v>
      </c>
      <c r="O70">
        <f t="shared" ref="O70:O133" si="22">(N70-N69)/N69</f>
        <v>6.2205634053141389E-4</v>
      </c>
      <c r="P70">
        <f t="shared" si="14"/>
        <v>15.088560585394809</v>
      </c>
      <c r="Q70">
        <f t="shared" ref="Q70:Q133" si="23">O70-$O$252</f>
        <v>-3.4320990563860233E-4</v>
      </c>
      <c r="S70" s="1">
        <v>45817</v>
      </c>
      <c r="T70">
        <v>820.05</v>
      </c>
      <c r="U70">
        <f t="shared" ref="U70:U133" si="24">(T70-T69)/T69</f>
        <v>8.6095566078346966E-3</v>
      </c>
      <c r="V70">
        <f t="shared" si="15"/>
        <v>24.465193919590835</v>
      </c>
      <c r="W70">
        <f t="shared" ref="W70:W133" si="25">U70-$U$252</f>
        <v>6.3602022323909699E-3</v>
      </c>
      <c r="Y70" s="1">
        <v>45817</v>
      </c>
      <c r="Z70" s="2">
        <v>1572.9</v>
      </c>
      <c r="AA70" s="4">
        <f t="shared" ref="AA70:AA133" si="26">(Z70-Z69)/Z69</f>
        <v>5.8191584601612334E-3</v>
      </c>
      <c r="AB70">
        <f t="shared" si="16"/>
        <v>19.613331066145204</v>
      </c>
      <c r="AC70">
        <f t="shared" ref="AC70:AC133" si="27">AA70-$AA$252</f>
        <v>6.9507043998065683E-3</v>
      </c>
      <c r="AE70">
        <f t="shared" ref="AE70:AE133" si="28">AB70+V70+P70+J70+D70</f>
        <v>111.59158202760582</v>
      </c>
      <c r="AF70">
        <f t="shared" ref="AF70:AF133" si="29">AE70/AE69-1</f>
        <v>1.05036723480183E-2</v>
      </c>
      <c r="AH70">
        <v>1.4086800268311075E-2</v>
      </c>
      <c r="AI70">
        <v>1.4724861162396822E-2</v>
      </c>
      <c r="AJ70">
        <v>7.4584276332098562E-3</v>
      </c>
      <c r="AK70">
        <v>6.4975438875835116E-3</v>
      </c>
      <c r="AL70">
        <v>7.2436221154157775E-3</v>
      </c>
      <c r="AN70" s="24" t="s">
        <v>28</v>
      </c>
      <c r="AO70">
        <v>0.21</v>
      </c>
      <c r="AP70" s="3">
        <f t="shared" si="17"/>
        <v>2.640472979697008E-3</v>
      </c>
    </row>
    <row r="71" spans="1:44" x14ac:dyDescent="0.3">
      <c r="A71" s="1">
        <v>45818</v>
      </c>
      <c r="B71" s="2">
        <v>1060.5</v>
      </c>
      <c r="C71">
        <f t="shared" si="18"/>
        <v>2.5331141835057573E-2</v>
      </c>
      <c r="D71">
        <f t="shared" ref="D71:D134" si="30">D70*(1+C71)</f>
        <v>22.20942408376963</v>
      </c>
      <c r="E71">
        <f t="shared" si="19"/>
        <v>2.427246581799606E-2</v>
      </c>
      <c r="G71" s="1">
        <v>45818</v>
      </c>
      <c r="H71">
        <v>413.2</v>
      </c>
      <c r="I71">
        <f t="shared" si="20"/>
        <v>1.7232890201871E-2</v>
      </c>
      <c r="J71">
        <f t="shared" ref="J71:J134" si="31">J70*(1+I71)</f>
        <v>31.293912030294219</v>
      </c>
      <c r="K71">
        <f t="shared" si="21"/>
        <v>1.6711912207870921E-2</v>
      </c>
      <c r="M71" s="1">
        <v>45818</v>
      </c>
      <c r="N71" s="2">
        <v>11391</v>
      </c>
      <c r="O71">
        <f t="shared" si="22"/>
        <v>1.1634103019538189E-2</v>
      </c>
      <c r="P71">
        <f t="shared" ref="P71:P134" si="32">P70*(1+O71)</f>
        <v>15.264102453661835</v>
      </c>
      <c r="Q71">
        <f t="shared" si="23"/>
        <v>1.0668836773368173E-2</v>
      </c>
      <c r="S71" s="1">
        <v>45818</v>
      </c>
      <c r="T71">
        <v>817.05</v>
      </c>
      <c r="U71">
        <f t="shared" si="24"/>
        <v>-3.6583135174684473E-3</v>
      </c>
      <c r="V71">
        <f t="shared" ref="V71:V134" si="33">V70*(1+U71)</f>
        <v>24.37569256996731</v>
      </c>
      <c r="W71">
        <f t="shared" si="25"/>
        <v>-5.907667892912174E-3</v>
      </c>
      <c r="Y71" s="1">
        <v>45818</v>
      </c>
      <c r="Z71" s="2">
        <v>1596</v>
      </c>
      <c r="AA71" s="4">
        <f t="shared" si="26"/>
        <v>1.4686248331108086E-2</v>
      </c>
      <c r="AB71">
        <f t="shared" ref="AB71:AB134" si="34">AB70*(1+AA71)</f>
        <v>19.901377316782849</v>
      </c>
      <c r="AC71">
        <f t="shared" si="27"/>
        <v>1.5817794270753419E-2</v>
      </c>
      <c r="AE71">
        <f t="shared" si="28"/>
        <v>113.04450845447585</v>
      </c>
      <c r="AF71">
        <f t="shared" si="29"/>
        <v>1.3020036103714272E-2</v>
      </c>
      <c r="AH71">
        <v>1.4155301211049989E-2</v>
      </c>
      <c r="AI71">
        <v>1.612274619571329E-2</v>
      </c>
      <c r="AJ71">
        <v>-3.4320990563860233E-4</v>
      </c>
      <c r="AK71">
        <v>6.3602022323909699E-3</v>
      </c>
      <c r="AL71">
        <v>6.9507043998065683E-3</v>
      </c>
      <c r="AN71" s="25" t="s">
        <v>29</v>
      </c>
      <c r="AO71">
        <v>0.22</v>
      </c>
      <c r="AP71" s="3">
        <f t="shared" si="17"/>
        <v>3.682183641510755E-3</v>
      </c>
    </row>
    <row r="72" spans="1:44" x14ac:dyDescent="0.3">
      <c r="A72" s="1">
        <v>45819</v>
      </c>
      <c r="B72" s="2">
        <v>1046.8</v>
      </c>
      <c r="C72">
        <f t="shared" si="18"/>
        <v>-1.2918434700612961E-2</v>
      </c>
      <c r="D72">
        <f t="shared" si="30"/>
        <v>21.922513089005232</v>
      </c>
      <c r="E72">
        <f t="shared" si="19"/>
        <v>-1.3977110717674476E-2</v>
      </c>
      <c r="G72" s="1">
        <v>45819</v>
      </c>
      <c r="H72">
        <v>412.05</v>
      </c>
      <c r="I72">
        <f t="shared" si="20"/>
        <v>-2.7831558567279219E-3</v>
      </c>
      <c r="J72">
        <f t="shared" si="31"/>
        <v>31.206816195747177</v>
      </c>
      <c r="K72">
        <f t="shared" si="21"/>
        <v>-3.3041338507279997E-3</v>
      </c>
      <c r="M72" s="1">
        <v>45819</v>
      </c>
      <c r="N72" s="2">
        <v>11464</v>
      </c>
      <c r="O72">
        <f t="shared" si="22"/>
        <v>6.4085681678518131E-3</v>
      </c>
      <c r="P72">
        <f t="shared" si="32"/>
        <v>15.361923494757201</v>
      </c>
      <c r="Q72">
        <f t="shared" si="23"/>
        <v>5.4433019216817971E-3</v>
      </c>
      <c r="S72" s="1">
        <v>45819</v>
      </c>
      <c r="T72">
        <v>815.05</v>
      </c>
      <c r="U72">
        <f t="shared" si="24"/>
        <v>-2.4478306101217797E-3</v>
      </c>
      <c r="V72">
        <f t="shared" si="33"/>
        <v>24.316025003551626</v>
      </c>
      <c r="W72">
        <f t="shared" si="25"/>
        <v>-4.697184985565506E-3</v>
      </c>
      <c r="Y72" s="1">
        <v>45819</v>
      </c>
      <c r="Z72" s="2">
        <v>1631.1</v>
      </c>
      <c r="AA72" s="4">
        <f t="shared" si="26"/>
        <v>2.1992481203007463E-2</v>
      </c>
      <c r="AB72">
        <f t="shared" si="34"/>
        <v>20.339057983336154</v>
      </c>
      <c r="AC72">
        <f t="shared" si="27"/>
        <v>2.3124027142652798E-2</v>
      </c>
      <c r="AE72">
        <f t="shared" si="28"/>
        <v>113.14633576639739</v>
      </c>
      <c r="AF72">
        <f t="shared" si="29"/>
        <v>9.0077185803805193E-4</v>
      </c>
      <c r="AH72">
        <v>2.427246581799606E-2</v>
      </c>
      <c r="AI72">
        <v>1.6711912207870921E-2</v>
      </c>
      <c r="AJ72">
        <v>1.0668836773368173E-2</v>
      </c>
      <c r="AK72">
        <v>-5.907667892912174E-3</v>
      </c>
      <c r="AL72">
        <v>1.5817794270753419E-2</v>
      </c>
    </row>
    <row r="73" spans="1:44" x14ac:dyDescent="0.3">
      <c r="A73" s="1">
        <v>45820</v>
      </c>
      <c r="B73" s="2">
        <v>1015.8</v>
      </c>
      <c r="C73">
        <f t="shared" si="18"/>
        <v>-2.9614061902942301E-2</v>
      </c>
      <c r="D73">
        <f t="shared" si="30"/>
        <v>21.273298429319368</v>
      </c>
      <c r="E73">
        <f t="shared" si="19"/>
        <v>-3.0672737920003815E-2</v>
      </c>
      <c r="G73" s="1">
        <v>45820</v>
      </c>
      <c r="H73">
        <v>401.65</v>
      </c>
      <c r="I73">
        <f t="shared" si="20"/>
        <v>-2.5239655381628524E-2</v>
      </c>
      <c r="J73">
        <f t="shared" si="31"/>
        <v>30.419166909408695</v>
      </c>
      <c r="K73">
        <f t="shared" si="21"/>
        <v>-2.5760633375628603E-2</v>
      </c>
      <c r="M73" s="1">
        <v>45820</v>
      </c>
      <c r="N73" s="2">
        <v>11323</v>
      </c>
      <c r="O73">
        <f t="shared" si="22"/>
        <v>-1.229937194696441E-2</v>
      </c>
      <c r="P73">
        <f t="shared" si="32"/>
        <v>15.172981483874372</v>
      </c>
      <c r="Q73">
        <f t="shared" si="23"/>
        <v>-1.3264638193134426E-2</v>
      </c>
      <c r="S73" s="1">
        <v>45820</v>
      </c>
      <c r="T73">
        <v>805.95</v>
      </c>
      <c r="U73">
        <f t="shared" si="24"/>
        <v>-1.1164959204956641E-2</v>
      </c>
      <c r="V73">
        <f t="shared" si="33"/>
        <v>24.044537576360266</v>
      </c>
      <c r="W73">
        <f t="shared" si="25"/>
        <v>-1.3414313580400367E-2</v>
      </c>
      <c r="Y73" s="1">
        <v>45820</v>
      </c>
      <c r="Z73" s="2">
        <v>1608.6</v>
      </c>
      <c r="AA73" s="4">
        <f t="shared" si="26"/>
        <v>-1.3794371896266325E-2</v>
      </c>
      <c r="AB73">
        <f t="shared" si="34"/>
        <v>20.05849345349429</v>
      </c>
      <c r="AC73">
        <f t="shared" si="27"/>
        <v>-1.266282595662099E-2</v>
      </c>
      <c r="AE73">
        <f t="shared" si="28"/>
        <v>110.968477852457</v>
      </c>
      <c r="AF73">
        <f t="shared" si="29"/>
        <v>-1.9248152396528329E-2</v>
      </c>
      <c r="AH73">
        <v>-1.3977110717674476E-2</v>
      </c>
      <c r="AI73">
        <v>-3.3041338507279997E-3</v>
      </c>
      <c r="AJ73">
        <v>5.4433019216817971E-3</v>
      </c>
      <c r="AK73">
        <v>-4.697184985565506E-3</v>
      </c>
      <c r="AL73">
        <v>2.3124027142652798E-2</v>
      </c>
    </row>
    <row r="74" spans="1:44" x14ac:dyDescent="0.3">
      <c r="A74" s="1">
        <v>45821</v>
      </c>
      <c r="B74">
        <v>989.5</v>
      </c>
      <c r="C74">
        <f t="shared" si="18"/>
        <v>-2.5890923410120059E-2</v>
      </c>
      <c r="D74">
        <f t="shared" si="30"/>
        <v>20.722513089005233</v>
      </c>
      <c r="E74">
        <f t="shared" si="19"/>
        <v>-2.6949599427181573E-2</v>
      </c>
      <c r="G74" s="1">
        <v>45821</v>
      </c>
      <c r="H74">
        <v>397.2</v>
      </c>
      <c r="I74">
        <f t="shared" si="20"/>
        <v>-1.1079297896178238E-2</v>
      </c>
      <c r="J74">
        <f t="shared" si="31"/>
        <v>30.082143897465787</v>
      </c>
      <c r="K74">
        <f t="shared" si="21"/>
        <v>-1.1600275890178315E-2</v>
      </c>
      <c r="M74" s="1">
        <v>45821</v>
      </c>
      <c r="N74" s="2">
        <v>11224</v>
      </c>
      <c r="O74">
        <f t="shared" si="22"/>
        <v>-8.7432659189260794E-3</v>
      </c>
      <c r="P74">
        <f t="shared" si="32"/>
        <v>15.040320071977916</v>
      </c>
      <c r="Q74">
        <f t="shared" si="23"/>
        <v>-9.7085321650960954E-3</v>
      </c>
      <c r="S74" s="1">
        <v>45821</v>
      </c>
      <c r="T74">
        <v>792.35</v>
      </c>
      <c r="U74">
        <f t="shared" si="24"/>
        <v>-1.6874495936472514E-2</v>
      </c>
      <c r="V74">
        <f t="shared" si="33"/>
        <v>23.638798124733615</v>
      </c>
      <c r="W74">
        <f t="shared" si="25"/>
        <v>-1.9123850311916241E-2</v>
      </c>
      <c r="Y74" s="1">
        <v>45821</v>
      </c>
      <c r="Z74" s="2">
        <v>1602</v>
      </c>
      <c r="AA74" s="4">
        <f t="shared" si="26"/>
        <v>-4.1029466616933413E-3</v>
      </c>
      <c r="AB74">
        <f t="shared" si="34"/>
        <v>19.976194524740677</v>
      </c>
      <c r="AC74">
        <f t="shared" si="27"/>
        <v>-2.9714007220480068E-3</v>
      </c>
      <c r="AE74">
        <f t="shared" si="28"/>
        <v>109.45996970792322</v>
      </c>
      <c r="AF74">
        <f t="shared" si="29"/>
        <v>-1.3594023940199262E-2</v>
      </c>
      <c r="AH74">
        <v>-3.0672737920003815E-2</v>
      </c>
      <c r="AI74">
        <v>-2.5760633375628603E-2</v>
      </c>
      <c r="AJ74">
        <v>-1.3264638193134426E-2</v>
      </c>
      <c r="AK74">
        <v>-1.3414313580400367E-2</v>
      </c>
      <c r="AL74">
        <v>-1.266282595662099E-2</v>
      </c>
    </row>
    <row r="75" spans="1:44" x14ac:dyDescent="0.3">
      <c r="A75" s="1">
        <v>45824</v>
      </c>
      <c r="B75">
        <v>992</v>
      </c>
      <c r="C75">
        <f t="shared" si="18"/>
        <v>2.5265285497726125E-3</v>
      </c>
      <c r="D75">
        <f t="shared" si="30"/>
        <v>20.774869109947641</v>
      </c>
      <c r="E75">
        <f t="shared" si="19"/>
        <v>1.4678525327110974E-3</v>
      </c>
      <c r="G75" s="1">
        <v>45824</v>
      </c>
      <c r="H75">
        <v>399.4</v>
      </c>
      <c r="I75">
        <f t="shared" si="20"/>
        <v>5.5387713997985619E-3</v>
      </c>
      <c r="J75">
        <f t="shared" si="31"/>
        <v>30.248762015729696</v>
      </c>
      <c r="K75">
        <f t="shared" si="21"/>
        <v>5.0177934057984847E-3</v>
      </c>
      <c r="M75" s="1">
        <v>45824</v>
      </c>
      <c r="N75" s="2">
        <v>11495</v>
      </c>
      <c r="O75">
        <f t="shared" si="22"/>
        <v>2.4144689950106914E-2</v>
      </c>
      <c r="P75">
        <f t="shared" si="32"/>
        <v>15.403463936866194</v>
      </c>
      <c r="Q75">
        <f t="shared" si="23"/>
        <v>2.3179423703936896E-2</v>
      </c>
      <c r="S75" s="1">
        <v>45824</v>
      </c>
      <c r="T75">
        <v>792.5</v>
      </c>
      <c r="U75">
        <f t="shared" si="24"/>
        <v>1.8931027954815076E-4</v>
      </c>
      <c r="V75">
        <f t="shared" si="33"/>
        <v>23.643273192214789</v>
      </c>
      <c r="W75">
        <f t="shared" si="25"/>
        <v>-2.0600440958955758E-3</v>
      </c>
      <c r="Y75" s="1">
        <v>45824</v>
      </c>
      <c r="Z75" s="2">
        <v>1623.8</v>
      </c>
      <c r="AA75" s="4">
        <f t="shared" si="26"/>
        <v>1.3607990012484366E-2</v>
      </c>
      <c r="AB75">
        <f t="shared" si="34"/>
        <v>20.248030380320792</v>
      </c>
      <c r="AC75">
        <f t="shared" si="27"/>
        <v>1.4739535952129701E-2</v>
      </c>
      <c r="AE75">
        <f t="shared" si="28"/>
        <v>110.31839863507912</v>
      </c>
      <c r="AF75">
        <f t="shared" si="29"/>
        <v>7.8424005547095277E-3</v>
      </c>
      <c r="AH75">
        <v>-2.6949599427181573E-2</v>
      </c>
      <c r="AI75">
        <v>-1.1600275890178315E-2</v>
      </c>
      <c r="AJ75">
        <v>-9.7085321650960954E-3</v>
      </c>
      <c r="AK75">
        <v>-1.9123850311916241E-2</v>
      </c>
      <c r="AL75">
        <v>-2.9714007220480068E-3</v>
      </c>
      <c r="AN75" s="28" t="s">
        <v>41</v>
      </c>
    </row>
    <row r="76" spans="1:44" x14ac:dyDescent="0.3">
      <c r="A76" s="1">
        <v>45825</v>
      </c>
      <c r="B76">
        <v>977.5</v>
      </c>
      <c r="C76">
        <f t="shared" si="18"/>
        <v>-1.4616935483870967E-2</v>
      </c>
      <c r="D76">
        <f t="shared" si="30"/>
        <v>20.471204188481671</v>
      </c>
      <c r="E76">
        <f t="shared" si="19"/>
        <v>-1.5675611500932482E-2</v>
      </c>
      <c r="G76" s="1">
        <v>45825</v>
      </c>
      <c r="H76">
        <v>396.05</v>
      </c>
      <c r="I76">
        <f t="shared" si="20"/>
        <v>-8.3875813720580023E-3</v>
      </c>
      <c r="J76">
        <f t="shared" si="31"/>
        <v>29.995048062918748</v>
      </c>
      <c r="K76">
        <f t="shared" si="21"/>
        <v>-8.9085593660580796E-3</v>
      </c>
      <c r="M76" s="1">
        <v>45825</v>
      </c>
      <c r="N76" s="2">
        <v>11383</v>
      </c>
      <c r="O76">
        <f t="shared" si="22"/>
        <v>-9.7433666811657244E-3</v>
      </c>
      <c r="P76">
        <f t="shared" si="32"/>
        <v>15.253382339569194</v>
      </c>
      <c r="Q76">
        <f t="shared" si="23"/>
        <v>-1.070863292733574E-2</v>
      </c>
      <c r="S76" s="1">
        <v>45825</v>
      </c>
      <c r="T76">
        <v>792.3</v>
      </c>
      <c r="U76">
        <f t="shared" si="24"/>
        <v>-2.5236593059942646E-4</v>
      </c>
      <c r="V76">
        <f t="shared" si="33"/>
        <v>23.637306435573219</v>
      </c>
      <c r="W76">
        <f t="shared" si="25"/>
        <v>-2.5017203060431533E-3</v>
      </c>
      <c r="Y76" s="1">
        <v>45825</v>
      </c>
      <c r="Z76" s="2">
        <v>1639.9</v>
      </c>
      <c r="AA76" s="4">
        <f t="shared" si="26"/>
        <v>9.9150141643060338E-3</v>
      </c>
      <c r="AB76">
        <f t="shared" si="34"/>
        <v>20.448789888340972</v>
      </c>
      <c r="AC76">
        <f t="shared" si="27"/>
        <v>1.1046560103951369E-2</v>
      </c>
      <c r="AE76">
        <f t="shared" si="28"/>
        <v>109.80573091488381</v>
      </c>
      <c r="AF76">
        <f t="shared" si="29"/>
        <v>-4.6471642675955938E-3</v>
      </c>
      <c r="AH76">
        <v>1.4678525327110974E-3</v>
      </c>
      <c r="AI76">
        <v>5.0177934057984847E-3</v>
      </c>
      <c r="AJ76">
        <v>2.3179423703936896E-2</v>
      </c>
      <c r="AK76">
        <v>-2.0600440958955758E-3</v>
      </c>
      <c r="AL76">
        <v>1.4739535952129701E-2</v>
      </c>
      <c r="AN76" cm="1">
        <f t="array" ref="AN76:AR76">MMULT(TRANSPOSE(AP67:AP71),(_xlfn.ANCHORARRAY(AO52)))</f>
        <v>8.8222430228580145E-3</v>
      </c>
      <c r="AO76">
        <v>9.1351755016896175E-3</v>
      </c>
      <c r="AP76">
        <v>6.2896406320941808E-3</v>
      </c>
      <c r="AQ76">
        <v>7.1526142673473212E-3</v>
      </c>
      <c r="AR76">
        <v>5.6319259359515778E-3</v>
      </c>
    </row>
    <row r="77" spans="1:44" x14ac:dyDescent="0.3">
      <c r="A77" s="1">
        <v>45826</v>
      </c>
      <c r="B77">
        <v>968.9</v>
      </c>
      <c r="C77">
        <f t="shared" si="18"/>
        <v>-8.7979539641943969E-3</v>
      </c>
      <c r="D77">
        <f t="shared" si="30"/>
        <v>20.291099476439786</v>
      </c>
      <c r="E77">
        <f t="shared" si="19"/>
        <v>-9.856629981255912E-3</v>
      </c>
      <c r="G77" s="1">
        <v>45826</v>
      </c>
      <c r="H77">
        <v>393.4</v>
      </c>
      <c r="I77">
        <f t="shared" si="20"/>
        <v>-6.6910743592981546E-3</v>
      </c>
      <c r="J77">
        <f t="shared" si="31"/>
        <v>29.794348965919035</v>
      </c>
      <c r="K77">
        <f t="shared" si="21"/>
        <v>-7.2120523532982327E-3</v>
      </c>
      <c r="M77" s="1">
        <v>45826</v>
      </c>
      <c r="N77" s="2">
        <v>11406</v>
      </c>
      <c r="O77">
        <f t="shared" si="22"/>
        <v>2.0205569709215495E-3</v>
      </c>
      <c r="P77">
        <f t="shared" si="32"/>
        <v>15.284202667585541</v>
      </c>
      <c r="Q77">
        <f t="shared" si="23"/>
        <v>1.0552907247515333E-3</v>
      </c>
      <c r="S77" s="1">
        <v>45826</v>
      </c>
      <c r="T77">
        <v>791.9</v>
      </c>
      <c r="U77">
        <f t="shared" si="24"/>
        <v>-5.0485927047832547E-4</v>
      </c>
      <c r="V77">
        <f t="shared" si="33"/>
        <v>23.625372922290083</v>
      </c>
      <c r="W77">
        <f t="shared" si="25"/>
        <v>-2.7542136459220521E-3</v>
      </c>
      <c r="Y77" s="1">
        <v>45826</v>
      </c>
      <c r="Z77" s="2">
        <v>1632.9</v>
      </c>
      <c r="AA77" s="4">
        <f t="shared" si="26"/>
        <v>-4.2685529605463743E-3</v>
      </c>
      <c r="AB77">
        <f t="shared" si="34"/>
        <v>20.361503145723503</v>
      </c>
      <c r="AC77">
        <f t="shared" si="27"/>
        <v>-3.1370070209010398E-3</v>
      </c>
      <c r="AE77">
        <f t="shared" si="28"/>
        <v>109.35652717795794</v>
      </c>
      <c r="AF77">
        <f t="shared" si="29"/>
        <v>-4.0908951944782501E-3</v>
      </c>
      <c r="AH77">
        <v>-1.5675611500932482E-2</v>
      </c>
      <c r="AI77">
        <v>-8.9085593660580796E-3</v>
      </c>
      <c r="AJ77">
        <v>-1.070863292733574E-2</v>
      </c>
      <c r="AK77">
        <v>-2.5017203060431533E-3</v>
      </c>
      <c r="AL77">
        <v>1.1046560103951369E-2</v>
      </c>
    </row>
    <row r="78" spans="1:44" x14ac:dyDescent="0.3">
      <c r="A78" s="1">
        <v>45827</v>
      </c>
      <c r="B78">
        <v>934</v>
      </c>
      <c r="C78">
        <f t="shared" si="18"/>
        <v>-3.6020229125812757E-2</v>
      </c>
      <c r="D78">
        <f t="shared" si="30"/>
        <v>19.560209424083766</v>
      </c>
      <c r="E78">
        <f t="shared" si="19"/>
        <v>-3.707890514287427E-2</v>
      </c>
      <c r="G78" s="1">
        <v>45827</v>
      </c>
      <c r="H78">
        <v>384.55</v>
      </c>
      <c r="I78">
        <f t="shared" si="20"/>
        <v>-2.2496187086934332E-2</v>
      </c>
      <c r="J78">
        <f t="shared" si="31"/>
        <v>29.12408971744831</v>
      </c>
      <c r="K78">
        <f t="shared" si="21"/>
        <v>-2.3017165080934411E-2</v>
      </c>
      <c r="M78" s="1">
        <v>45827</v>
      </c>
      <c r="N78" s="2">
        <v>11420</v>
      </c>
      <c r="O78">
        <f t="shared" si="22"/>
        <v>1.2274241627213747E-3</v>
      </c>
      <c r="P78">
        <f t="shared" si="32"/>
        <v>15.302962867247668</v>
      </c>
      <c r="Q78">
        <f t="shared" si="23"/>
        <v>2.6215791655135852E-4</v>
      </c>
      <c r="S78" s="1">
        <v>45827</v>
      </c>
      <c r="T78">
        <v>785.1</v>
      </c>
      <c r="U78">
        <f t="shared" si="24"/>
        <v>-8.5869427958074947E-3</v>
      </c>
      <c r="V78">
        <f t="shared" si="33"/>
        <v>23.422503196476757</v>
      </c>
      <c r="W78">
        <f t="shared" si="25"/>
        <v>-1.0836297171251221E-2</v>
      </c>
      <c r="Y78" s="1">
        <v>45827</v>
      </c>
      <c r="Z78" s="2">
        <v>1618.4</v>
      </c>
      <c r="AA78" s="4">
        <f t="shared" si="26"/>
        <v>-8.8799069140792445E-3</v>
      </c>
      <c r="AB78">
        <f t="shared" si="34"/>
        <v>20.180694893158748</v>
      </c>
      <c r="AC78">
        <f t="shared" si="27"/>
        <v>-7.7483609744339096E-3</v>
      </c>
      <c r="AE78">
        <f t="shared" si="28"/>
        <v>107.59046009841525</v>
      </c>
      <c r="AF78">
        <f t="shared" si="29"/>
        <v>-1.6149626594018862E-2</v>
      </c>
      <c r="AH78">
        <v>-9.856629981255912E-3</v>
      </c>
      <c r="AI78">
        <v>-7.2120523532982327E-3</v>
      </c>
      <c r="AJ78">
        <v>1.0552907247515333E-3</v>
      </c>
      <c r="AK78">
        <v>-2.7542136459220521E-3</v>
      </c>
      <c r="AL78">
        <v>-3.1370070209010398E-3</v>
      </c>
    </row>
    <row r="79" spans="1:44" x14ac:dyDescent="0.3">
      <c r="A79" s="1">
        <v>45828</v>
      </c>
      <c r="B79">
        <v>947.7</v>
      </c>
      <c r="C79">
        <f t="shared" si="18"/>
        <v>1.4668094218415466E-2</v>
      </c>
      <c r="D79">
        <f t="shared" si="30"/>
        <v>19.847120418848164</v>
      </c>
      <c r="E79">
        <f t="shared" si="19"/>
        <v>1.3609418201353951E-2</v>
      </c>
      <c r="G79" s="1">
        <v>45828</v>
      </c>
      <c r="H79">
        <v>390.1</v>
      </c>
      <c r="I79">
        <f t="shared" si="20"/>
        <v>1.4432453517097935E-2</v>
      </c>
      <c r="J79">
        <f t="shared" si="31"/>
        <v>29.54442178852317</v>
      </c>
      <c r="K79">
        <f t="shared" si="21"/>
        <v>1.3911475523097858E-2</v>
      </c>
      <c r="M79" s="1">
        <v>45828</v>
      </c>
      <c r="N79" s="2">
        <v>11458</v>
      </c>
      <c r="O79">
        <f t="shared" si="22"/>
        <v>3.3274956217162872E-3</v>
      </c>
      <c r="P79">
        <f t="shared" si="32"/>
        <v>15.35388340918772</v>
      </c>
      <c r="Q79">
        <f t="shared" si="23"/>
        <v>2.3622293755462707E-3</v>
      </c>
      <c r="S79" s="1">
        <v>45828</v>
      </c>
      <c r="T79">
        <v>796.15</v>
      </c>
      <c r="U79">
        <f t="shared" si="24"/>
        <v>1.4074640173226282E-2</v>
      </c>
      <c r="V79">
        <f t="shared" si="33"/>
        <v>23.752166500923412</v>
      </c>
      <c r="W79">
        <f t="shared" si="25"/>
        <v>1.1825285797782555E-2</v>
      </c>
      <c r="Y79" s="1">
        <v>45828</v>
      </c>
      <c r="Z79" s="2">
        <v>1622.9</v>
      </c>
      <c r="AA79" s="4">
        <f t="shared" si="26"/>
        <v>2.7805239742956004E-3</v>
      </c>
      <c r="AB79">
        <f t="shared" si="34"/>
        <v>20.236807799127117</v>
      </c>
      <c r="AC79">
        <f t="shared" si="27"/>
        <v>3.9120699139409349E-3</v>
      </c>
      <c r="AE79">
        <f t="shared" si="28"/>
        <v>108.73439991660958</v>
      </c>
      <c r="AF79">
        <f t="shared" si="29"/>
        <v>1.0632353622690438E-2</v>
      </c>
      <c r="AH79">
        <v>-3.707890514287427E-2</v>
      </c>
      <c r="AI79">
        <v>-2.3017165080934411E-2</v>
      </c>
      <c r="AJ79">
        <v>2.6215791655135852E-4</v>
      </c>
      <c r="AK79">
        <v>-1.0836297171251221E-2</v>
      </c>
      <c r="AL79">
        <v>-7.7483609744339096E-3</v>
      </c>
      <c r="AN79" s="28" t="s">
        <v>39</v>
      </c>
    </row>
    <row r="80" spans="1:44" x14ac:dyDescent="0.3">
      <c r="A80" s="1">
        <v>45831</v>
      </c>
      <c r="B80">
        <v>960.5</v>
      </c>
      <c r="C80">
        <f t="shared" si="18"/>
        <v>1.3506383876754199E-2</v>
      </c>
      <c r="D80">
        <f t="shared" si="30"/>
        <v>20.115183246073293</v>
      </c>
      <c r="E80">
        <f t="shared" si="19"/>
        <v>1.2447707859692684E-2</v>
      </c>
      <c r="G80" s="1">
        <v>45831</v>
      </c>
      <c r="H80">
        <v>393</v>
      </c>
      <c r="I80">
        <f t="shared" si="20"/>
        <v>7.4339912842860218E-3</v>
      </c>
      <c r="J80">
        <f t="shared" si="31"/>
        <v>29.76405476259832</v>
      </c>
      <c r="K80">
        <f t="shared" si="21"/>
        <v>6.9130132902859437E-3</v>
      </c>
      <c r="M80" s="1">
        <v>45831</v>
      </c>
      <c r="N80" s="2">
        <v>11449</v>
      </c>
      <c r="O80">
        <f t="shared" si="22"/>
        <v>-7.8547739570605693E-4</v>
      </c>
      <c r="P80">
        <f t="shared" si="32"/>
        <v>15.341823280833497</v>
      </c>
      <c r="Q80">
        <f t="shared" si="23"/>
        <v>-1.750743641876073E-3</v>
      </c>
      <c r="S80" s="1">
        <v>45831</v>
      </c>
      <c r="T80">
        <v>790.2</v>
      </c>
      <c r="U80">
        <f t="shared" si="24"/>
        <v>-7.4734660553914863E-3</v>
      </c>
      <c r="V80">
        <f t="shared" si="33"/>
        <v>23.574655490836754</v>
      </c>
      <c r="W80">
        <f t="shared" si="25"/>
        <v>-9.7228204308352131E-3</v>
      </c>
      <c r="Y80" s="1">
        <v>45831</v>
      </c>
      <c r="Z80" s="2">
        <v>1584</v>
      </c>
      <c r="AA80" s="4">
        <f t="shared" si="26"/>
        <v>-2.3969437426828572E-2</v>
      </c>
      <c r="AB80">
        <f t="shared" si="34"/>
        <v>19.751742900867182</v>
      </c>
      <c r="AC80">
        <f t="shared" si="27"/>
        <v>-2.2837891487183237E-2</v>
      </c>
      <c r="AE80">
        <f t="shared" si="28"/>
        <v>108.54745968120903</v>
      </c>
      <c r="AF80">
        <f t="shared" si="29"/>
        <v>-1.7192372932937072E-3</v>
      </c>
      <c r="AH80">
        <v>1.3609418201353951E-2</v>
      </c>
      <c r="AI80">
        <v>1.3911475523097858E-2</v>
      </c>
      <c r="AJ80">
        <v>2.3622293755462707E-3</v>
      </c>
      <c r="AK80">
        <v>1.1825285797782555E-2</v>
      </c>
      <c r="AL80">
        <v>3.9120699139409349E-3</v>
      </c>
      <c r="AN80" cm="1">
        <f t="array" ref="AN80">MMULT(_xlfn.ANCHORARRAY(AN76),AP67:AP71)</f>
        <v>1.227186184108395E-4</v>
      </c>
    </row>
    <row r="81" spans="1:45" x14ac:dyDescent="0.3">
      <c r="A81" s="1">
        <v>45832</v>
      </c>
      <c r="B81">
        <v>987.3</v>
      </c>
      <c r="C81">
        <f t="shared" si="18"/>
        <v>2.7902134305049404E-2</v>
      </c>
      <c r="D81">
        <f t="shared" si="30"/>
        <v>20.676439790575909</v>
      </c>
      <c r="E81">
        <f t="shared" si="19"/>
        <v>2.6843458287987891E-2</v>
      </c>
      <c r="G81" s="1">
        <v>45832</v>
      </c>
      <c r="H81">
        <v>398.45</v>
      </c>
      <c r="I81">
        <f t="shared" si="20"/>
        <v>1.3867684478371473E-2</v>
      </c>
      <c r="J81">
        <f t="shared" si="31"/>
        <v>30.176813282843</v>
      </c>
      <c r="K81">
        <f t="shared" si="21"/>
        <v>1.3346706484371395E-2</v>
      </c>
      <c r="M81" s="1">
        <v>45832</v>
      </c>
      <c r="N81" s="2">
        <v>11579</v>
      </c>
      <c r="O81">
        <f t="shared" si="22"/>
        <v>1.1354703467551752E-2</v>
      </c>
      <c r="P81">
        <f t="shared" si="32"/>
        <v>15.516025134838944</v>
      </c>
      <c r="Q81">
        <f t="shared" si="23"/>
        <v>1.0389437221381735E-2</v>
      </c>
      <c r="S81" s="1">
        <v>45832</v>
      </c>
      <c r="T81">
        <v>795.4</v>
      </c>
      <c r="U81">
        <f t="shared" si="24"/>
        <v>6.5806125031636692E-3</v>
      </c>
      <c r="V81">
        <f t="shared" si="33"/>
        <v>23.729791163517532</v>
      </c>
      <c r="W81">
        <f t="shared" si="25"/>
        <v>4.3312581277199424E-3</v>
      </c>
      <c r="Y81" s="1">
        <v>45832</v>
      </c>
      <c r="Z81" s="2">
        <v>1581.6</v>
      </c>
      <c r="AA81" s="4">
        <f t="shared" si="26"/>
        <v>-1.5151515151515726E-3</v>
      </c>
      <c r="AB81">
        <f t="shared" si="34"/>
        <v>19.721816017684048</v>
      </c>
      <c r="AC81">
        <f t="shared" si="27"/>
        <v>-3.8360557550623812E-4</v>
      </c>
      <c r="AE81">
        <f t="shared" si="28"/>
        <v>109.82088538945943</v>
      </c>
      <c r="AF81">
        <f t="shared" si="29"/>
        <v>1.1731510916886512E-2</v>
      </c>
      <c r="AH81">
        <v>1.2447707859692684E-2</v>
      </c>
      <c r="AI81">
        <v>6.9130132902859437E-3</v>
      </c>
      <c r="AJ81">
        <v>-1.750743641876073E-3</v>
      </c>
      <c r="AK81">
        <v>-9.7228204308352131E-3</v>
      </c>
      <c r="AL81">
        <v>-2.2837891487183237E-2</v>
      </c>
    </row>
    <row r="82" spans="1:45" x14ac:dyDescent="0.3">
      <c r="A82" s="1">
        <v>45833</v>
      </c>
      <c r="B82">
        <v>981.1</v>
      </c>
      <c r="C82">
        <f t="shared" si="18"/>
        <v>-6.2797528613389364E-3</v>
      </c>
      <c r="D82">
        <f t="shared" si="30"/>
        <v>20.546596858638736</v>
      </c>
      <c r="E82">
        <f t="shared" si="19"/>
        <v>-7.3384288784004515E-3</v>
      </c>
      <c r="G82" s="1">
        <v>45833</v>
      </c>
      <c r="H82">
        <v>403.05</v>
      </c>
      <c r="I82">
        <f t="shared" si="20"/>
        <v>1.1544735851424327E-2</v>
      </c>
      <c r="J82">
        <f t="shared" si="31"/>
        <v>30.525196621031174</v>
      </c>
      <c r="K82">
        <f t="shared" si="21"/>
        <v>1.102375785742425E-2</v>
      </c>
      <c r="M82" s="1">
        <v>45833</v>
      </c>
      <c r="N82" s="2">
        <v>11733</v>
      </c>
      <c r="O82">
        <f t="shared" si="22"/>
        <v>1.3299939545729337E-2</v>
      </c>
      <c r="P82">
        <f t="shared" si="32"/>
        <v>15.72238733112232</v>
      </c>
      <c r="Q82">
        <f t="shared" si="23"/>
        <v>1.2334673299559321E-2</v>
      </c>
      <c r="S82" s="1">
        <v>45833</v>
      </c>
      <c r="T82">
        <v>800.05</v>
      </c>
      <c r="U82">
        <f t="shared" si="24"/>
        <v>5.8461151621825216E-3</v>
      </c>
      <c r="V82">
        <f t="shared" si="33"/>
        <v>23.868518255433997</v>
      </c>
      <c r="W82">
        <f t="shared" si="25"/>
        <v>3.5967607867387948E-3</v>
      </c>
      <c r="Y82" s="1">
        <v>45833</v>
      </c>
      <c r="Z82" s="2">
        <v>1614.9</v>
      </c>
      <c r="AA82" s="4">
        <f t="shared" si="26"/>
        <v>2.1054628224582816E-2</v>
      </c>
      <c r="AB82">
        <f t="shared" si="34"/>
        <v>20.137051521850012</v>
      </c>
      <c r="AC82">
        <f t="shared" si="27"/>
        <v>2.2186174164228151E-2</v>
      </c>
      <c r="AE82">
        <f t="shared" si="28"/>
        <v>110.79975058807624</v>
      </c>
      <c r="AF82">
        <f t="shared" si="29"/>
        <v>8.9132881705100697E-3</v>
      </c>
      <c r="AH82">
        <v>2.6843458287987891E-2</v>
      </c>
      <c r="AI82">
        <v>1.3346706484371395E-2</v>
      </c>
      <c r="AJ82">
        <v>1.0389437221381735E-2</v>
      </c>
      <c r="AK82">
        <v>4.3312581277199424E-3</v>
      </c>
      <c r="AL82">
        <v>-3.8360557550623812E-4</v>
      </c>
      <c r="AN82" s="28" t="s">
        <v>40</v>
      </c>
    </row>
    <row r="83" spans="1:45" x14ac:dyDescent="0.3">
      <c r="A83" s="1">
        <v>45834</v>
      </c>
      <c r="B83">
        <v>992</v>
      </c>
      <c r="C83">
        <f t="shared" si="18"/>
        <v>1.1109978595454059E-2</v>
      </c>
      <c r="D83">
        <f t="shared" si="30"/>
        <v>20.774869109947637</v>
      </c>
      <c r="E83">
        <f t="shared" si="19"/>
        <v>1.0051302578392544E-2</v>
      </c>
      <c r="G83" s="1">
        <v>45834</v>
      </c>
      <c r="H83">
        <v>405.65</v>
      </c>
      <c r="I83">
        <f t="shared" si="20"/>
        <v>6.4508125542735786E-3</v>
      </c>
      <c r="J83">
        <f t="shared" si="31"/>
        <v>30.72210894261579</v>
      </c>
      <c r="K83">
        <f t="shared" si="21"/>
        <v>5.9298345602735014E-3</v>
      </c>
      <c r="M83" s="1">
        <v>45834</v>
      </c>
      <c r="N83" s="2">
        <v>11951</v>
      </c>
      <c r="O83">
        <f t="shared" si="22"/>
        <v>1.8580073297536862E-2</v>
      </c>
      <c r="P83">
        <f t="shared" si="32"/>
        <v>16.014510440146839</v>
      </c>
      <c r="Q83">
        <f t="shared" si="23"/>
        <v>1.7614807051366844E-2</v>
      </c>
      <c r="S83" s="1">
        <v>45834</v>
      </c>
      <c r="T83">
        <v>797.05</v>
      </c>
      <c r="U83">
        <f t="shared" si="24"/>
        <v>-3.7497656396475224E-3</v>
      </c>
      <c r="V83">
        <f t="shared" si="33"/>
        <v>23.779016905810469</v>
      </c>
      <c r="W83">
        <f t="shared" si="25"/>
        <v>-5.9991200150912496E-3</v>
      </c>
      <c r="Y83" s="1">
        <v>45834</v>
      </c>
      <c r="Z83" s="2">
        <v>1616</v>
      </c>
      <c r="AA83" s="4">
        <f t="shared" si="26"/>
        <v>6.8115672797071586E-4</v>
      </c>
      <c r="AB83">
        <f t="shared" si="34"/>
        <v>20.150768009975614</v>
      </c>
      <c r="AC83">
        <f t="shared" si="27"/>
        <v>1.8127026676160504E-3</v>
      </c>
      <c r="AE83">
        <f t="shared" si="28"/>
        <v>111.44127340849636</v>
      </c>
      <c r="AF83">
        <f t="shared" si="29"/>
        <v>5.789930184997738E-3</v>
      </c>
      <c r="AH83">
        <v>-7.3384288784004515E-3</v>
      </c>
      <c r="AI83">
        <v>1.102375785742425E-2</v>
      </c>
      <c r="AJ83">
        <v>1.2334673299559321E-2</v>
      </c>
      <c r="AK83">
        <v>3.5967607867387948E-3</v>
      </c>
      <c r="AL83">
        <v>2.2186174164228151E-2</v>
      </c>
      <c r="AN83" s="31">
        <f>SQRT(AN80)</f>
        <v>1.1077843581258922E-2</v>
      </c>
    </row>
    <row r="84" spans="1:45" x14ac:dyDescent="0.3">
      <c r="A84" s="1">
        <v>45835</v>
      </c>
      <c r="B84" s="2">
        <v>1015.6</v>
      </c>
      <c r="C84">
        <f t="shared" si="18"/>
        <v>2.3790322580645184E-2</v>
      </c>
      <c r="D84">
        <f t="shared" si="30"/>
        <v>21.269109947643976</v>
      </c>
      <c r="E84">
        <f t="shared" si="19"/>
        <v>2.2731646563583667E-2</v>
      </c>
      <c r="G84" s="1">
        <v>45835</v>
      </c>
      <c r="H84">
        <v>408.85</v>
      </c>
      <c r="I84">
        <f t="shared" si="20"/>
        <v>7.8885738937508835E-3</v>
      </c>
      <c r="J84">
        <f t="shared" si="31"/>
        <v>30.964462569181478</v>
      </c>
      <c r="K84">
        <f t="shared" si="21"/>
        <v>7.3675958997508062E-3</v>
      </c>
      <c r="M84" s="1">
        <v>45835</v>
      </c>
      <c r="N84" s="2">
        <v>12213</v>
      </c>
      <c r="O84">
        <f t="shared" si="22"/>
        <v>2.1922851644213873E-2</v>
      </c>
      <c r="P84">
        <f t="shared" si="32"/>
        <v>16.36559417668089</v>
      </c>
      <c r="Q84">
        <f t="shared" si="23"/>
        <v>2.0957585398043856E-2</v>
      </c>
      <c r="S84" s="1">
        <v>45835</v>
      </c>
      <c r="T84">
        <v>805.4</v>
      </c>
      <c r="U84">
        <f t="shared" si="24"/>
        <v>1.0476130732074554E-2</v>
      </c>
      <c r="V84">
        <f t="shared" si="33"/>
        <v>24.028128995595953</v>
      </c>
      <c r="W84">
        <f t="shared" si="25"/>
        <v>8.2267763566308272E-3</v>
      </c>
      <c r="Y84" s="1">
        <v>45835</v>
      </c>
      <c r="Z84" s="2">
        <v>1608</v>
      </c>
      <c r="AA84" s="4">
        <f t="shared" si="26"/>
        <v>-4.9504950495049506E-3</v>
      </c>
      <c r="AB84">
        <f t="shared" si="34"/>
        <v>20.051011732698509</v>
      </c>
      <c r="AC84">
        <f t="shared" si="27"/>
        <v>-3.8189491098596161E-3</v>
      </c>
      <c r="AE84">
        <f t="shared" si="28"/>
        <v>112.67830742180081</v>
      </c>
      <c r="AF84">
        <f t="shared" si="29"/>
        <v>1.110032194957089E-2</v>
      </c>
      <c r="AH84">
        <v>1.0051302578392544E-2</v>
      </c>
      <c r="AI84">
        <v>5.9298345602735014E-3</v>
      </c>
      <c r="AJ84">
        <v>1.7614807051366844E-2</v>
      </c>
      <c r="AK84">
        <v>-5.9991200150912496E-3</v>
      </c>
      <c r="AL84">
        <v>1.8127026676160504E-3</v>
      </c>
    </row>
    <row r="85" spans="1:45" x14ac:dyDescent="0.3">
      <c r="A85" s="1">
        <v>45838</v>
      </c>
      <c r="B85" s="2">
        <v>1025.5999999999999</v>
      </c>
      <c r="C85">
        <f t="shared" si="18"/>
        <v>9.8463962189837394E-3</v>
      </c>
      <c r="D85">
        <f t="shared" si="30"/>
        <v>21.478534031413606</v>
      </c>
      <c r="E85">
        <f t="shared" si="19"/>
        <v>8.7877202019222243E-3</v>
      </c>
      <c r="G85" s="1">
        <v>45838</v>
      </c>
      <c r="H85">
        <v>405.45</v>
      </c>
      <c r="I85">
        <f t="shared" si="20"/>
        <v>-8.3160083160083997E-3</v>
      </c>
      <c r="J85">
        <f t="shared" si="31"/>
        <v>30.706961840955433</v>
      </c>
      <c r="K85">
        <f t="shared" si="21"/>
        <v>-8.836986310008477E-3</v>
      </c>
      <c r="M85" s="1">
        <v>45838</v>
      </c>
      <c r="N85" s="2">
        <v>12093</v>
      </c>
      <c r="O85">
        <f t="shared" si="22"/>
        <v>-9.825595676737903E-3</v>
      </c>
      <c r="P85">
        <f t="shared" si="32"/>
        <v>16.204792465291249</v>
      </c>
      <c r="Q85">
        <f t="shared" si="23"/>
        <v>-1.0790861922907919E-2</v>
      </c>
      <c r="S85" s="1">
        <v>45838</v>
      </c>
      <c r="T85">
        <v>820.35</v>
      </c>
      <c r="U85">
        <f t="shared" si="24"/>
        <v>1.8562205115470631E-2</v>
      </c>
      <c r="V85">
        <f t="shared" si="33"/>
        <v>24.474144054553189</v>
      </c>
      <c r="W85">
        <f t="shared" si="25"/>
        <v>1.6312850740026905E-2</v>
      </c>
      <c r="Y85" s="1">
        <v>45838</v>
      </c>
      <c r="Z85" s="2">
        <v>1601.8</v>
      </c>
      <c r="AA85" s="4">
        <f t="shared" si="26"/>
        <v>-3.8557213930348541E-3</v>
      </c>
      <c r="AB85">
        <f t="shared" si="34"/>
        <v>19.973700617808753</v>
      </c>
      <c r="AC85">
        <f t="shared" si="27"/>
        <v>-2.7241754533895196E-3</v>
      </c>
      <c r="AE85">
        <f t="shared" si="28"/>
        <v>112.83813301002222</v>
      </c>
      <c r="AF85">
        <f t="shared" si="29"/>
        <v>1.4184237576724268E-3</v>
      </c>
      <c r="AH85">
        <v>2.2731646563583667E-2</v>
      </c>
      <c r="AI85">
        <v>7.3675958997508062E-3</v>
      </c>
      <c r="AJ85">
        <v>2.0957585398043856E-2</v>
      </c>
      <c r="AK85">
        <v>8.2267763566308272E-3</v>
      </c>
      <c r="AL85">
        <v>-3.8189491098596161E-3</v>
      </c>
    </row>
    <row r="86" spans="1:45" x14ac:dyDescent="0.3">
      <c r="A86" s="1">
        <v>45839</v>
      </c>
      <c r="B86" s="2">
        <v>1015.7</v>
      </c>
      <c r="C86">
        <f t="shared" si="18"/>
        <v>-9.652886115444485E-3</v>
      </c>
      <c r="D86">
        <f t="shared" si="30"/>
        <v>21.271204188481672</v>
      </c>
      <c r="E86">
        <f t="shared" si="19"/>
        <v>-1.0711562132506E-2</v>
      </c>
      <c r="G86" s="1">
        <v>45839</v>
      </c>
      <c r="H86">
        <v>406.55</v>
      </c>
      <c r="I86">
        <f t="shared" si="20"/>
        <v>2.7130348994944451E-3</v>
      </c>
      <c r="J86">
        <f t="shared" si="31"/>
        <v>30.790270900087386</v>
      </c>
      <c r="K86">
        <f t="shared" si="21"/>
        <v>2.1920569054943674E-3</v>
      </c>
      <c r="M86" s="1">
        <v>45839</v>
      </c>
      <c r="N86" s="2">
        <v>12210</v>
      </c>
      <c r="O86">
        <f t="shared" si="22"/>
        <v>9.6750186058050108E-3</v>
      </c>
      <c r="P86">
        <f t="shared" si="32"/>
        <v>16.361574133896148</v>
      </c>
      <c r="Q86">
        <f t="shared" si="23"/>
        <v>8.7097523596349948E-3</v>
      </c>
      <c r="S86" s="1">
        <v>45839</v>
      </c>
      <c r="T86">
        <v>820.3</v>
      </c>
      <c r="U86">
        <f t="shared" si="24"/>
        <v>-6.0949594685278494E-5</v>
      </c>
      <c r="V86">
        <f t="shared" si="33"/>
        <v>24.472652365392797</v>
      </c>
      <c r="W86">
        <f t="shared" si="25"/>
        <v>-2.3103039701290054E-3</v>
      </c>
      <c r="Y86" s="1">
        <v>45839</v>
      </c>
      <c r="Z86" s="2">
        <v>1606.8</v>
      </c>
      <c r="AA86" s="4">
        <f t="shared" si="26"/>
        <v>3.1214883256336623E-3</v>
      </c>
      <c r="AB86">
        <f t="shared" si="34"/>
        <v>20.036048291106944</v>
      </c>
      <c r="AC86">
        <f t="shared" si="27"/>
        <v>4.2530342652789968E-3</v>
      </c>
      <c r="AE86">
        <f t="shared" si="28"/>
        <v>112.93174987896495</v>
      </c>
      <c r="AF86">
        <f t="shared" si="29"/>
        <v>8.2965630895737164E-4</v>
      </c>
      <c r="AH86">
        <v>8.7877202019222243E-3</v>
      </c>
      <c r="AI86">
        <v>-8.836986310008477E-3</v>
      </c>
      <c r="AJ86">
        <v>-1.0790861922907919E-2</v>
      </c>
      <c r="AK86">
        <v>1.6312850740026905E-2</v>
      </c>
      <c r="AL86">
        <v>-2.7241754533895196E-3</v>
      </c>
    </row>
    <row r="87" spans="1:45" ht="17.399999999999999" x14ac:dyDescent="0.35">
      <c r="A87" s="1">
        <v>45840</v>
      </c>
      <c r="B87" s="2">
        <v>1019</v>
      </c>
      <c r="C87">
        <f t="shared" si="18"/>
        <v>3.2489908437530316E-3</v>
      </c>
      <c r="D87">
        <f t="shared" si="30"/>
        <v>21.340314136125649</v>
      </c>
      <c r="E87">
        <f t="shared" si="19"/>
        <v>2.1903148266915165E-3</v>
      </c>
      <c r="G87" s="1">
        <v>45840</v>
      </c>
      <c r="H87">
        <v>406.65</v>
      </c>
      <c r="I87">
        <f t="shared" si="20"/>
        <v>2.4597220514073519E-4</v>
      </c>
      <c r="J87">
        <f t="shared" si="31"/>
        <v>30.797844450917559</v>
      </c>
      <c r="K87">
        <f t="shared" si="21"/>
        <v>-2.7500578885934253E-4</v>
      </c>
      <c r="M87" s="1">
        <v>45840</v>
      </c>
      <c r="N87" s="2">
        <v>12436</v>
      </c>
      <c r="O87">
        <f t="shared" si="22"/>
        <v>1.8509418509418511E-2</v>
      </c>
      <c r="P87">
        <f t="shared" si="32"/>
        <v>16.66441735701331</v>
      </c>
      <c r="Q87">
        <f t="shared" si="23"/>
        <v>1.7544152263248493E-2</v>
      </c>
      <c r="S87" s="1">
        <v>45840</v>
      </c>
      <c r="T87">
        <v>812.9</v>
      </c>
      <c r="U87">
        <f t="shared" si="24"/>
        <v>-9.0210898451785655E-3</v>
      </c>
      <c r="V87">
        <f t="shared" si="33"/>
        <v>24.251882369654766</v>
      </c>
      <c r="W87">
        <f t="shared" si="25"/>
        <v>-1.1270444220622292E-2</v>
      </c>
      <c r="Y87" s="1">
        <v>45840</v>
      </c>
      <c r="Z87" s="2">
        <v>1610.5</v>
      </c>
      <c r="AA87" s="4">
        <f t="shared" si="26"/>
        <v>2.3027134677620397E-3</v>
      </c>
      <c r="AB87">
        <f t="shared" si="34"/>
        <v>20.082185569347605</v>
      </c>
      <c r="AC87">
        <f t="shared" si="27"/>
        <v>3.4342594074073742E-3</v>
      </c>
      <c r="AE87">
        <f t="shared" si="28"/>
        <v>113.13664388305887</v>
      </c>
      <c r="AF87">
        <f t="shared" si="29"/>
        <v>1.814317092522888E-3</v>
      </c>
      <c r="AH87">
        <v>-1.0711562132506E-2</v>
      </c>
      <c r="AI87">
        <v>2.1920569054943674E-3</v>
      </c>
      <c r="AJ87">
        <v>8.7097523596349948E-3</v>
      </c>
      <c r="AK87">
        <v>-2.3103039701290054E-3</v>
      </c>
      <c r="AL87">
        <v>4.2530342652789968E-3</v>
      </c>
      <c r="AO87" s="35" t="s">
        <v>47</v>
      </c>
    </row>
    <row r="88" spans="1:45" x14ac:dyDescent="0.3">
      <c r="A88" s="1">
        <v>45841</v>
      </c>
      <c r="B88" s="2">
        <v>1008.5</v>
      </c>
      <c r="C88">
        <f t="shared" si="18"/>
        <v>-1.0304219823356232E-2</v>
      </c>
      <c r="D88">
        <f t="shared" si="30"/>
        <v>21.120418848167532</v>
      </c>
      <c r="E88">
        <f t="shared" si="19"/>
        <v>-1.1362895840417747E-2</v>
      </c>
      <c r="G88" s="1">
        <v>45841</v>
      </c>
      <c r="H88">
        <v>399.9</v>
      </c>
      <c r="I88">
        <f t="shared" si="20"/>
        <v>-1.6599040944300997E-2</v>
      </c>
      <c r="J88">
        <f t="shared" si="31"/>
        <v>30.286629769880566</v>
      </c>
      <c r="K88">
        <f t="shared" si="21"/>
        <v>-1.7120018938301076E-2</v>
      </c>
      <c r="M88" s="1">
        <v>45841</v>
      </c>
      <c r="N88" s="2">
        <v>12398</v>
      </c>
      <c r="O88">
        <f t="shared" si="22"/>
        <v>-3.0556449018977164E-3</v>
      </c>
      <c r="P88">
        <f t="shared" si="32"/>
        <v>16.613496815073258</v>
      </c>
      <c r="Q88">
        <f t="shared" si="23"/>
        <v>-4.0209111480677328E-3</v>
      </c>
      <c r="S88" s="1">
        <v>45841</v>
      </c>
      <c r="T88">
        <v>807.1</v>
      </c>
      <c r="U88">
        <f t="shared" si="24"/>
        <v>-7.1349489482100559E-3</v>
      </c>
      <c r="V88">
        <f t="shared" si="33"/>
        <v>24.078846427049282</v>
      </c>
      <c r="W88">
        <f t="shared" si="25"/>
        <v>-9.3843033236537827E-3</v>
      </c>
      <c r="Y88" s="1">
        <v>45841</v>
      </c>
      <c r="Z88" s="2">
        <v>1618.7</v>
      </c>
      <c r="AA88" s="4">
        <f t="shared" si="26"/>
        <v>5.0915864638311362E-3</v>
      </c>
      <c r="AB88">
        <f t="shared" si="34"/>
        <v>20.184435753556642</v>
      </c>
      <c r="AC88">
        <f t="shared" si="27"/>
        <v>6.2231324034764703E-3</v>
      </c>
      <c r="AE88">
        <f t="shared" si="28"/>
        <v>112.28382761372728</v>
      </c>
      <c r="AF88">
        <f t="shared" si="29"/>
        <v>-7.5379314787972218E-3</v>
      </c>
      <c r="AH88">
        <v>2.1903148266915165E-3</v>
      </c>
      <c r="AI88">
        <v>-2.7500578885934253E-4</v>
      </c>
      <c r="AJ88">
        <v>1.7544152263248493E-2</v>
      </c>
      <c r="AK88">
        <v>-1.1270444220622292E-2</v>
      </c>
      <c r="AL88">
        <v>3.4342594074073742E-3</v>
      </c>
      <c r="AO88" s="28" t="s">
        <v>42</v>
      </c>
      <c r="AP88" s="28" t="s">
        <v>43</v>
      </c>
      <c r="AQ88" s="28" t="s">
        <v>9</v>
      </c>
      <c r="AR88" s="28" t="s">
        <v>45</v>
      </c>
    </row>
    <row r="89" spans="1:45" x14ac:dyDescent="0.3">
      <c r="A89" s="1">
        <v>45842</v>
      </c>
      <c r="B89">
        <v>996.8</v>
      </c>
      <c r="C89">
        <f t="shared" si="18"/>
        <v>-1.1601388200297517E-2</v>
      </c>
      <c r="D89">
        <f t="shared" si="30"/>
        <v>20.875392670157058</v>
      </c>
      <c r="E89">
        <f t="shared" si="19"/>
        <v>-1.2660064217359032E-2</v>
      </c>
      <c r="G89" s="1">
        <v>45842</v>
      </c>
      <c r="H89">
        <v>401</v>
      </c>
      <c r="I89">
        <f t="shared" si="20"/>
        <v>2.7506876719180363E-3</v>
      </c>
      <c r="J89">
        <f t="shared" si="31"/>
        <v>30.369938829012526</v>
      </c>
      <c r="K89">
        <f t="shared" si="21"/>
        <v>2.2297096779179586E-3</v>
      </c>
      <c r="M89" s="1">
        <v>45842</v>
      </c>
      <c r="N89" s="2">
        <v>12506</v>
      </c>
      <c r="O89">
        <f t="shared" si="22"/>
        <v>8.7110824326504278E-3</v>
      </c>
      <c r="P89">
        <f t="shared" si="32"/>
        <v>16.758218355323937</v>
      </c>
      <c r="Q89">
        <f t="shared" si="23"/>
        <v>7.7458161864804118E-3</v>
      </c>
      <c r="S89" s="1">
        <v>45842</v>
      </c>
      <c r="T89">
        <v>811.85</v>
      </c>
      <c r="U89">
        <f t="shared" si="24"/>
        <v>5.8852682443315575E-3</v>
      </c>
      <c r="V89">
        <f t="shared" si="33"/>
        <v>24.220556897286531</v>
      </c>
      <c r="W89">
        <f t="shared" si="25"/>
        <v>3.6359138688878308E-3</v>
      </c>
      <c r="Y89" s="1">
        <v>45842</v>
      </c>
      <c r="Z89" s="2">
        <v>1640.7</v>
      </c>
      <c r="AA89" s="4">
        <f t="shared" si="26"/>
        <v>1.359115339469945E-2</v>
      </c>
      <c r="AB89">
        <f t="shared" si="34"/>
        <v>20.458765516068688</v>
      </c>
      <c r="AC89">
        <f t="shared" si="27"/>
        <v>1.4722699334344785E-2</v>
      </c>
      <c r="AE89">
        <f t="shared" si="28"/>
        <v>112.68287226784874</v>
      </c>
      <c r="AF89">
        <f t="shared" si="29"/>
        <v>3.5538925115219389E-3</v>
      </c>
      <c r="AH89">
        <v>-1.1362895840417747E-2</v>
      </c>
      <c r="AI89">
        <v>-1.7120018938301076E-2</v>
      </c>
      <c r="AJ89">
        <v>-4.0209111480677328E-3</v>
      </c>
      <c r="AK89">
        <v>-9.3843033236537827E-3</v>
      </c>
      <c r="AL89">
        <v>6.2231324034764703E-3</v>
      </c>
      <c r="AO89" s="21" t="s">
        <v>23</v>
      </c>
      <c r="AP89" s="3">
        <v>1.0586760170615151E-3</v>
      </c>
      <c r="AQ89" s="11">
        <v>0.17</v>
      </c>
      <c r="AR89" s="3">
        <f>AP89*246</f>
        <v>0.26043430019713271</v>
      </c>
      <c r="AS89">
        <v>246</v>
      </c>
    </row>
    <row r="90" spans="1:45" x14ac:dyDescent="0.3">
      <c r="A90" s="1">
        <v>45845</v>
      </c>
      <c r="B90">
        <v>991.1</v>
      </c>
      <c r="C90">
        <f t="shared" si="18"/>
        <v>-5.7182985553771385E-3</v>
      </c>
      <c r="D90">
        <f t="shared" si="30"/>
        <v>20.756020942408369</v>
      </c>
      <c r="E90">
        <f t="shared" si="19"/>
        <v>-6.7769745724386536E-3</v>
      </c>
      <c r="G90" s="1">
        <v>45845</v>
      </c>
      <c r="H90">
        <v>401.2</v>
      </c>
      <c r="I90">
        <f t="shared" si="20"/>
        <v>4.9875311720695421E-4</v>
      </c>
      <c r="J90">
        <f t="shared" si="31"/>
        <v>30.385085930672879</v>
      </c>
      <c r="K90">
        <f t="shared" si="21"/>
        <v>-2.2224876793123507E-5</v>
      </c>
      <c r="M90" s="1">
        <v>45845</v>
      </c>
      <c r="N90" s="2">
        <v>12345</v>
      </c>
      <c r="O90">
        <f t="shared" si="22"/>
        <v>-1.2873820566128258E-2</v>
      </c>
      <c r="P90">
        <f t="shared" si="32"/>
        <v>16.542476059209498</v>
      </c>
      <c r="Q90">
        <f t="shared" si="23"/>
        <v>-1.3839086812298274E-2</v>
      </c>
      <c r="S90" s="1">
        <v>45845</v>
      </c>
      <c r="T90">
        <v>806.85</v>
      </c>
      <c r="U90">
        <f t="shared" si="24"/>
        <v>-6.1587731723840612E-3</v>
      </c>
      <c r="V90">
        <f t="shared" si="33"/>
        <v>24.071387981247319</v>
      </c>
      <c r="W90">
        <f t="shared" si="25"/>
        <v>-8.408127547827788E-3</v>
      </c>
      <c r="Y90" s="1">
        <v>45845</v>
      </c>
      <c r="Z90" s="2">
        <v>1627</v>
      </c>
      <c r="AA90" s="4">
        <f t="shared" si="26"/>
        <v>-8.3500944718717888E-3</v>
      </c>
      <c r="AB90">
        <f t="shared" si="34"/>
        <v>20.287932891231641</v>
      </c>
      <c r="AC90">
        <f t="shared" si="27"/>
        <v>-7.2185485322264539E-3</v>
      </c>
      <c r="AE90">
        <f t="shared" si="28"/>
        <v>112.04290380476971</v>
      </c>
      <c r="AF90">
        <f t="shared" si="29"/>
        <v>-5.6793765565170684E-3</v>
      </c>
      <c r="AH90">
        <v>-1.2660064217359032E-2</v>
      </c>
      <c r="AI90">
        <v>2.2297096779179586E-3</v>
      </c>
      <c r="AJ90">
        <v>7.7458161864804118E-3</v>
      </c>
      <c r="AK90">
        <v>3.6359138688878308E-3</v>
      </c>
      <c r="AL90">
        <v>1.4722699334344785E-2</v>
      </c>
      <c r="AO90" s="22" t="s">
        <v>30</v>
      </c>
      <c r="AP90" s="3">
        <v>5.2097799400007772E-4</v>
      </c>
      <c r="AQ90" s="11">
        <v>0.26</v>
      </c>
      <c r="AR90" s="3">
        <f t="shared" ref="AR90:AR93" si="35">AP90*246</f>
        <v>0.12816058652401913</v>
      </c>
    </row>
    <row r="91" spans="1:45" x14ac:dyDescent="0.3">
      <c r="A91" s="1">
        <v>45846</v>
      </c>
      <c r="B91">
        <v>992</v>
      </c>
      <c r="C91">
        <f t="shared" si="18"/>
        <v>9.0808192916958658E-4</v>
      </c>
      <c r="D91">
        <f t="shared" si="30"/>
        <v>20.774869109947637</v>
      </c>
      <c r="E91">
        <f t="shared" si="19"/>
        <v>-1.5059408789192853E-4</v>
      </c>
      <c r="G91" s="1">
        <v>45846</v>
      </c>
      <c r="H91">
        <v>400.85</v>
      </c>
      <c r="I91">
        <f t="shared" si="20"/>
        <v>-8.7238285144557799E-4</v>
      </c>
      <c r="J91">
        <f t="shared" si="31"/>
        <v>30.358578502767262</v>
      </c>
      <c r="K91">
        <f t="shared" si="21"/>
        <v>-1.3933608454456557E-3</v>
      </c>
      <c r="M91" s="1">
        <v>45846</v>
      </c>
      <c r="N91" s="2">
        <v>12445</v>
      </c>
      <c r="O91">
        <f t="shared" si="22"/>
        <v>8.1004455245038479E-3</v>
      </c>
      <c r="P91">
        <f t="shared" si="32"/>
        <v>16.676477485367535</v>
      </c>
      <c r="Q91">
        <f t="shared" si="23"/>
        <v>7.1351792783338319E-3</v>
      </c>
      <c r="S91" s="1">
        <v>45846</v>
      </c>
      <c r="T91">
        <v>812.65</v>
      </c>
      <c r="U91">
        <f t="shared" si="24"/>
        <v>7.1884489062402608E-3</v>
      </c>
      <c r="V91">
        <f t="shared" si="33"/>
        <v>24.2444239238528</v>
      </c>
      <c r="W91">
        <f t="shared" si="25"/>
        <v>4.9390945307965341E-3</v>
      </c>
      <c r="Y91" s="1">
        <v>45846</v>
      </c>
      <c r="Z91" s="2">
        <v>1638.7</v>
      </c>
      <c r="AA91" s="4">
        <f t="shared" si="26"/>
        <v>7.1911493546404706E-3</v>
      </c>
      <c r="AB91">
        <f t="shared" si="34"/>
        <v>20.433826446749407</v>
      </c>
      <c r="AC91">
        <f t="shared" si="27"/>
        <v>8.3226952942858055E-3</v>
      </c>
      <c r="AE91">
        <f t="shared" si="28"/>
        <v>112.48817546868463</v>
      </c>
      <c r="AF91">
        <f t="shared" si="29"/>
        <v>3.9741174924454725E-3</v>
      </c>
      <c r="AH91">
        <v>-6.7769745724386536E-3</v>
      </c>
      <c r="AI91">
        <v>-2.2224876793123507E-5</v>
      </c>
      <c r="AJ91">
        <v>-1.3839086812298274E-2</v>
      </c>
      <c r="AK91">
        <v>-8.408127547827788E-3</v>
      </c>
      <c r="AL91">
        <v>-7.2185485322264539E-3</v>
      </c>
      <c r="AO91" s="23" t="s">
        <v>25</v>
      </c>
      <c r="AP91" s="3">
        <v>9.6526624617001623E-4</v>
      </c>
      <c r="AQ91" s="11">
        <v>0.14000000000000001</v>
      </c>
      <c r="AR91" s="3">
        <f t="shared" si="35"/>
        <v>0.237455496557824</v>
      </c>
    </row>
    <row r="92" spans="1:45" x14ac:dyDescent="0.3">
      <c r="A92" s="1">
        <v>45847</v>
      </c>
      <c r="B92">
        <v>995.2</v>
      </c>
      <c r="C92">
        <f t="shared" si="18"/>
        <v>3.2258064516129492E-3</v>
      </c>
      <c r="D92">
        <f t="shared" si="30"/>
        <v>20.841884816753918</v>
      </c>
      <c r="E92">
        <f t="shared" si="19"/>
        <v>2.1671304345514341E-3</v>
      </c>
      <c r="G92" s="1">
        <v>45847</v>
      </c>
      <c r="H92">
        <v>400.65</v>
      </c>
      <c r="I92">
        <f t="shared" si="20"/>
        <v>-4.989397530249357E-4</v>
      </c>
      <c r="J92">
        <f t="shared" si="31"/>
        <v>30.343431401106901</v>
      </c>
      <c r="K92">
        <f t="shared" si="21"/>
        <v>-1.0199177470250134E-3</v>
      </c>
      <c r="M92" s="1">
        <v>45847</v>
      </c>
      <c r="N92" s="2">
        <v>12562</v>
      </c>
      <c r="O92">
        <f t="shared" si="22"/>
        <v>9.4013660104459631E-3</v>
      </c>
      <c r="P92">
        <f t="shared" si="32"/>
        <v>16.833259153972435</v>
      </c>
      <c r="Q92">
        <f t="shared" si="23"/>
        <v>8.4360997642759471E-3</v>
      </c>
      <c r="S92" s="1">
        <v>45847</v>
      </c>
      <c r="T92">
        <v>810.95</v>
      </c>
      <c r="U92">
        <f t="shared" si="24"/>
        <v>-2.0919214914168851E-3</v>
      </c>
      <c r="V92">
        <f t="shared" si="33"/>
        <v>24.193706492399471</v>
      </c>
      <c r="W92">
        <f t="shared" si="25"/>
        <v>-4.3412758668606114E-3</v>
      </c>
      <c r="Y92" s="1">
        <v>45847</v>
      </c>
      <c r="Z92" s="2">
        <v>1633.7</v>
      </c>
      <c r="AA92" s="4">
        <f t="shared" si="26"/>
        <v>-3.0511991212546531E-3</v>
      </c>
      <c r="AB92">
        <f t="shared" si="34"/>
        <v>20.371478773451216</v>
      </c>
      <c r="AC92">
        <f t="shared" si="27"/>
        <v>-1.9196531816093186E-3</v>
      </c>
      <c r="AE92">
        <f t="shared" si="28"/>
        <v>112.58376063768394</v>
      </c>
      <c r="AF92">
        <f t="shared" si="29"/>
        <v>8.4973525973763842E-4</v>
      </c>
      <c r="AH92">
        <v>-1.5059408789192853E-4</v>
      </c>
      <c r="AI92">
        <v>-1.3933608454456557E-3</v>
      </c>
      <c r="AJ92">
        <v>7.1351792783338319E-3</v>
      </c>
      <c r="AK92">
        <v>4.9390945307965341E-3</v>
      </c>
      <c r="AL92">
        <v>8.3226952942858055E-3</v>
      </c>
      <c r="AO92" s="24" t="s">
        <v>28</v>
      </c>
      <c r="AP92" s="3">
        <v>2.2493543754437267E-3</v>
      </c>
      <c r="AQ92" s="11">
        <v>0.21</v>
      </c>
      <c r="AR92" s="3">
        <f t="shared" si="35"/>
        <v>0.55334117635915681</v>
      </c>
    </row>
    <row r="93" spans="1:45" x14ac:dyDescent="0.3">
      <c r="A93" s="1">
        <v>45848</v>
      </c>
      <c r="B93">
        <v>995.8</v>
      </c>
      <c r="C93">
        <f t="shared" si="18"/>
        <v>6.028938906751497E-4</v>
      </c>
      <c r="D93">
        <f t="shared" si="30"/>
        <v>20.854450261780098</v>
      </c>
      <c r="E93">
        <f t="shared" si="19"/>
        <v>-4.5578212638636541E-4</v>
      </c>
      <c r="G93" s="1">
        <v>45848</v>
      </c>
      <c r="H93">
        <v>399.9</v>
      </c>
      <c r="I93">
        <f t="shared" si="20"/>
        <v>-1.8719580681392737E-3</v>
      </c>
      <c r="J93">
        <f t="shared" si="31"/>
        <v>30.28662976988057</v>
      </c>
      <c r="K93">
        <f t="shared" si="21"/>
        <v>-2.3929360621393514E-3</v>
      </c>
      <c r="M93" s="1">
        <v>45848</v>
      </c>
      <c r="N93" s="2">
        <v>12516</v>
      </c>
      <c r="O93">
        <f t="shared" si="22"/>
        <v>-3.6618372870562011E-3</v>
      </c>
      <c r="P93">
        <f t="shared" si="32"/>
        <v>16.771618497939738</v>
      </c>
      <c r="Q93">
        <f t="shared" si="23"/>
        <v>-4.6271035332262171E-3</v>
      </c>
      <c r="S93" s="1">
        <v>45848</v>
      </c>
      <c r="T93">
        <v>808</v>
      </c>
      <c r="U93">
        <f t="shared" si="24"/>
        <v>-3.6377088599790926E-3</v>
      </c>
      <c r="V93">
        <f t="shared" si="33"/>
        <v>24.105696831936338</v>
      </c>
      <c r="W93">
        <f t="shared" si="25"/>
        <v>-5.8870632354228198E-3</v>
      </c>
      <c r="Y93" s="1">
        <v>45848</v>
      </c>
      <c r="Z93" s="2">
        <v>1615.8</v>
      </c>
      <c r="AA93" s="4">
        <f t="shared" si="26"/>
        <v>-1.0956724000734584E-2</v>
      </c>
      <c r="AB93">
        <f t="shared" si="34"/>
        <v>20.14827410304369</v>
      </c>
      <c r="AC93">
        <f t="shared" si="27"/>
        <v>-9.8251780610892486E-3</v>
      </c>
      <c r="AE93">
        <f t="shared" si="28"/>
        <v>112.16666946458045</v>
      </c>
      <c r="AF93">
        <f t="shared" si="29"/>
        <v>-3.7047187866264819E-3</v>
      </c>
      <c r="AH93">
        <v>2.1671304345514341E-3</v>
      </c>
      <c r="AI93">
        <v>-1.0199177470250134E-3</v>
      </c>
      <c r="AJ93">
        <v>8.4360997642759471E-3</v>
      </c>
      <c r="AK93">
        <v>-4.3412758668606114E-3</v>
      </c>
      <c r="AL93">
        <v>-1.9196531816093186E-3</v>
      </c>
      <c r="AO93" s="25" t="s">
        <v>29</v>
      </c>
      <c r="AP93" s="3">
        <v>-1.1315459396453345E-3</v>
      </c>
      <c r="AQ93" s="11">
        <v>0.22</v>
      </c>
      <c r="AR93" s="3">
        <f t="shared" si="35"/>
        <v>-0.27836030115275229</v>
      </c>
    </row>
    <row r="94" spans="1:45" x14ac:dyDescent="0.3">
      <c r="A94" s="1">
        <v>45849</v>
      </c>
      <c r="B94">
        <v>995.2</v>
      </c>
      <c r="C94">
        <f t="shared" si="18"/>
        <v>-6.0253062864019794E-4</v>
      </c>
      <c r="D94">
        <f t="shared" si="30"/>
        <v>20.841884816753922</v>
      </c>
      <c r="E94">
        <f t="shared" si="19"/>
        <v>-1.6612066457017132E-3</v>
      </c>
      <c r="G94" s="1">
        <v>45849</v>
      </c>
      <c r="H94">
        <v>396.85</v>
      </c>
      <c r="I94">
        <f t="shared" si="20"/>
        <v>-7.6269067266815571E-3</v>
      </c>
      <c r="J94">
        <f t="shared" si="31"/>
        <v>30.055636469560156</v>
      </c>
      <c r="K94">
        <f t="shared" si="21"/>
        <v>-8.1478847206816352E-3</v>
      </c>
      <c r="M94" s="1">
        <v>45849</v>
      </c>
      <c r="N94" s="2">
        <v>12495</v>
      </c>
      <c r="O94">
        <f t="shared" si="22"/>
        <v>-1.6778523489932886E-3</v>
      </c>
      <c r="P94">
        <f t="shared" si="32"/>
        <v>16.743478198446549</v>
      </c>
      <c r="Q94">
        <f t="shared" si="23"/>
        <v>-2.6431185951633048E-3</v>
      </c>
      <c r="S94" s="1">
        <v>45849</v>
      </c>
      <c r="T94">
        <v>808.65</v>
      </c>
      <c r="U94">
        <f t="shared" si="24"/>
        <v>8.0445544554452633E-4</v>
      </c>
      <c r="V94">
        <f t="shared" si="33"/>
        <v>24.125088791021433</v>
      </c>
      <c r="W94">
        <f t="shared" si="25"/>
        <v>-1.4448989298992004E-3</v>
      </c>
      <c r="Y94" s="1">
        <v>45849</v>
      </c>
      <c r="Z94" s="2">
        <v>1594.9</v>
      </c>
      <c r="AA94" s="4">
        <f t="shared" si="26"/>
        <v>-1.2934769154598257E-2</v>
      </c>
      <c r="AB94">
        <f t="shared" si="34"/>
        <v>19.88766082865725</v>
      </c>
      <c r="AC94">
        <f t="shared" si="27"/>
        <v>-1.1803223214952922E-2</v>
      </c>
      <c r="AE94">
        <f t="shared" si="28"/>
        <v>111.65374910443931</v>
      </c>
      <c r="AF94">
        <f t="shared" si="29"/>
        <v>-4.5728411353348486E-3</v>
      </c>
      <c r="AH94">
        <v>-4.5578212638636541E-4</v>
      </c>
      <c r="AI94">
        <v>-2.3929360621393514E-3</v>
      </c>
      <c r="AJ94">
        <v>-4.6271035332262171E-3</v>
      </c>
      <c r="AK94">
        <v>-5.8870632354228198E-3</v>
      </c>
      <c r="AL94">
        <v>-9.8251780610892486E-3</v>
      </c>
    </row>
    <row r="95" spans="1:45" x14ac:dyDescent="0.3">
      <c r="A95" s="1">
        <v>45852</v>
      </c>
      <c r="B95" s="2">
        <v>1025.9000000000001</v>
      </c>
      <c r="C95">
        <f t="shared" si="18"/>
        <v>3.0848070739549885E-2</v>
      </c>
      <c r="D95">
        <f t="shared" si="30"/>
        <v>21.484816753926701</v>
      </c>
      <c r="E95">
        <f t="shared" si="19"/>
        <v>2.9789394722488372E-2</v>
      </c>
      <c r="G95" s="1">
        <v>45852</v>
      </c>
      <c r="H95">
        <v>402.55</v>
      </c>
      <c r="I95">
        <f t="shared" si="20"/>
        <v>1.4363109487211763E-2</v>
      </c>
      <c r="J95">
        <f t="shared" si="31"/>
        <v>30.487328866880286</v>
      </c>
      <c r="K95">
        <f t="shared" si="21"/>
        <v>1.3842131493211686E-2</v>
      </c>
      <c r="M95" s="1">
        <v>45852</v>
      </c>
      <c r="N95" s="2">
        <v>12516</v>
      </c>
      <c r="O95">
        <f t="shared" si="22"/>
        <v>1.6806722689075631E-3</v>
      </c>
      <c r="P95">
        <f t="shared" si="32"/>
        <v>16.771618497939738</v>
      </c>
      <c r="Q95">
        <f t="shared" si="23"/>
        <v>7.154060227375469E-4</v>
      </c>
      <c r="S95" s="1">
        <v>45852</v>
      </c>
      <c r="T95">
        <v>808.85</v>
      </c>
      <c r="U95">
        <f t="shared" si="24"/>
        <v>2.4732578989679772E-4</v>
      </c>
      <c r="V95">
        <f t="shared" si="33"/>
        <v>24.131055547662999</v>
      </c>
      <c r="W95">
        <f t="shared" si="25"/>
        <v>-2.002028585546929E-3</v>
      </c>
      <c r="Y95" s="1">
        <v>45852</v>
      </c>
      <c r="Z95" s="2">
        <v>1570.3</v>
      </c>
      <c r="AA95" s="4">
        <f t="shared" si="26"/>
        <v>-1.5424164524421679E-2</v>
      </c>
      <c r="AB95">
        <f t="shared" si="34"/>
        <v>19.580910276030146</v>
      </c>
      <c r="AC95">
        <f t="shared" si="27"/>
        <v>-1.4292618584776344E-2</v>
      </c>
      <c r="AE95">
        <f t="shared" si="28"/>
        <v>112.45572994243989</v>
      </c>
      <c r="AF95">
        <f t="shared" si="29"/>
        <v>7.1827488502012038E-3</v>
      </c>
      <c r="AH95">
        <v>-1.6612066457017132E-3</v>
      </c>
      <c r="AI95">
        <v>-8.1478847206816352E-3</v>
      </c>
      <c r="AJ95">
        <v>-2.6431185951633048E-3</v>
      </c>
      <c r="AK95">
        <v>-1.4448989298992004E-3</v>
      </c>
      <c r="AL95">
        <v>-1.1803223214952922E-2</v>
      </c>
    </row>
    <row r="96" spans="1:45" x14ac:dyDescent="0.3">
      <c r="A96" s="1">
        <v>45853</v>
      </c>
      <c r="B96" s="2">
        <v>1033.0999999999999</v>
      </c>
      <c r="C96">
        <f t="shared" si="18"/>
        <v>7.0182278974557141E-3</v>
      </c>
      <c r="D96">
        <f t="shared" si="30"/>
        <v>21.635602094240834</v>
      </c>
      <c r="E96">
        <f t="shared" si="19"/>
        <v>5.9595518803941989E-3</v>
      </c>
      <c r="G96" s="1">
        <v>45853</v>
      </c>
      <c r="H96">
        <v>403.9</v>
      </c>
      <c r="I96">
        <f t="shared" si="20"/>
        <v>3.3536206682398852E-3</v>
      </c>
      <c r="J96">
        <f t="shared" si="31"/>
        <v>30.589571803087683</v>
      </c>
      <c r="K96">
        <f t="shared" si="21"/>
        <v>2.8326426742398074E-3</v>
      </c>
      <c r="M96" s="1">
        <v>45853</v>
      </c>
      <c r="N96" s="2">
        <v>12502</v>
      </c>
      <c r="O96">
        <f t="shared" si="22"/>
        <v>-1.1185682326621924E-3</v>
      </c>
      <c r="P96">
        <f t="shared" si="32"/>
        <v>16.752858298277612</v>
      </c>
      <c r="Q96">
        <f t="shared" si="23"/>
        <v>-2.0838344788322088E-3</v>
      </c>
      <c r="S96" s="1">
        <v>45853</v>
      </c>
      <c r="T96">
        <v>816.45</v>
      </c>
      <c r="U96">
        <f t="shared" si="24"/>
        <v>9.3960561290721677E-3</v>
      </c>
      <c r="V96">
        <f t="shared" si="33"/>
        <v>24.3577923000426</v>
      </c>
      <c r="W96">
        <f t="shared" si="25"/>
        <v>7.146701753628441E-3</v>
      </c>
      <c r="Y96" s="1">
        <v>45853</v>
      </c>
      <c r="Z96" s="2">
        <v>1585.6</v>
      </c>
      <c r="AA96" s="4">
        <f t="shared" si="26"/>
        <v>9.7433611411831839E-3</v>
      </c>
      <c r="AB96">
        <f t="shared" si="34"/>
        <v>19.771694156322614</v>
      </c>
      <c r="AC96">
        <f t="shared" si="27"/>
        <v>1.0874907080828519E-2</v>
      </c>
      <c r="AE96">
        <f t="shared" si="28"/>
        <v>113.10751865197135</v>
      </c>
      <c r="AF96">
        <f t="shared" si="29"/>
        <v>5.7959581949722505E-3</v>
      </c>
      <c r="AH96">
        <v>2.9789394722488372E-2</v>
      </c>
      <c r="AI96">
        <v>1.3842131493211686E-2</v>
      </c>
      <c r="AJ96">
        <v>7.154060227375469E-4</v>
      </c>
      <c r="AK96">
        <v>-2.002028585546929E-3</v>
      </c>
      <c r="AL96">
        <v>-1.4292618584776344E-2</v>
      </c>
      <c r="AO96" s="32" t="s">
        <v>44</v>
      </c>
      <c r="AP96" s="37">
        <f>AQ89*AR89+AQ90*AR90+AQ91*AR91+AQ92*AR92+AQ93*AR93</f>
        <v>0.16580173382967031</v>
      </c>
    </row>
    <row r="97" spans="1:46" x14ac:dyDescent="0.3">
      <c r="A97" s="1">
        <v>45854</v>
      </c>
      <c r="B97" s="2">
        <v>1038.5999999999999</v>
      </c>
      <c r="C97">
        <f t="shared" si="18"/>
        <v>5.323782789662182E-3</v>
      </c>
      <c r="D97">
        <f t="shared" si="30"/>
        <v>21.750785340314131</v>
      </c>
      <c r="E97">
        <f t="shared" si="19"/>
        <v>4.2651067726006669E-3</v>
      </c>
      <c r="G97" s="1">
        <v>45854</v>
      </c>
      <c r="H97">
        <v>414.7</v>
      </c>
      <c r="I97">
        <f t="shared" si="20"/>
        <v>2.6739291903936646E-2</v>
      </c>
      <c r="J97">
        <f t="shared" si="31"/>
        <v>31.407515292746876</v>
      </c>
      <c r="K97">
        <f t="shared" si="21"/>
        <v>2.6218313909936567E-2</v>
      </c>
      <c r="M97" s="1">
        <v>45854</v>
      </c>
      <c r="N97" s="2">
        <v>12453</v>
      </c>
      <c r="O97">
        <f t="shared" si="22"/>
        <v>-3.9193729003359464E-3</v>
      </c>
      <c r="P97">
        <f t="shared" si="32"/>
        <v>16.687197599460173</v>
      </c>
      <c r="Q97">
        <f t="shared" si="23"/>
        <v>-4.8846391465059624E-3</v>
      </c>
      <c r="S97" s="1">
        <v>45854</v>
      </c>
      <c r="T97">
        <v>831.7</v>
      </c>
      <c r="U97">
        <f t="shared" si="24"/>
        <v>1.8678424888235654E-2</v>
      </c>
      <c r="V97">
        <f t="shared" si="33"/>
        <v>24.812757493962192</v>
      </c>
      <c r="W97">
        <f t="shared" si="25"/>
        <v>1.6429070512791927E-2</v>
      </c>
      <c r="Y97" s="1">
        <v>45854</v>
      </c>
      <c r="Z97" s="2">
        <v>1607.9</v>
      </c>
      <c r="AA97" s="4">
        <f t="shared" si="26"/>
        <v>1.4064076690212023E-2</v>
      </c>
      <c r="AB97">
        <f t="shared" si="34"/>
        <v>20.049764779232554</v>
      </c>
      <c r="AC97">
        <f t="shared" si="27"/>
        <v>1.5195622629857358E-2</v>
      </c>
      <c r="AE97">
        <f t="shared" si="28"/>
        <v>114.70802050571592</v>
      </c>
      <c r="AF97">
        <f t="shared" si="29"/>
        <v>1.4150269343891075E-2</v>
      </c>
      <c r="AH97">
        <v>5.9595518803941989E-3</v>
      </c>
      <c r="AI97">
        <v>2.8326426742398074E-3</v>
      </c>
      <c r="AJ97">
        <v>-2.0838344788322088E-3</v>
      </c>
      <c r="AK97">
        <v>7.146701753628441E-3</v>
      </c>
      <c r="AL97">
        <v>1.0874907080828519E-2</v>
      </c>
      <c r="AO97" s="33" t="s">
        <v>46</v>
      </c>
      <c r="AP97" s="34">
        <f>AN83*SQRT(246)</f>
        <v>0.17374918741987405</v>
      </c>
    </row>
    <row r="98" spans="1:46" x14ac:dyDescent="0.3">
      <c r="A98" s="1">
        <v>45855</v>
      </c>
      <c r="B98" s="2">
        <v>1050.0999999999999</v>
      </c>
      <c r="C98">
        <f t="shared" si="18"/>
        <v>1.107259772771038E-2</v>
      </c>
      <c r="D98">
        <f t="shared" si="30"/>
        <v>21.991623036649209</v>
      </c>
      <c r="E98">
        <f t="shared" si="19"/>
        <v>1.0013921710648865E-2</v>
      </c>
      <c r="G98" s="1">
        <v>45855</v>
      </c>
      <c r="H98">
        <v>413.45</v>
      </c>
      <c r="I98">
        <f t="shared" si="20"/>
        <v>-3.0142271521581866E-3</v>
      </c>
      <c r="J98">
        <f t="shared" si="31"/>
        <v>31.312845907369656</v>
      </c>
      <c r="K98">
        <f t="shared" si="21"/>
        <v>-3.5352051461582643E-3</v>
      </c>
      <c r="M98" s="1">
        <v>45855</v>
      </c>
      <c r="N98" s="2">
        <v>12495</v>
      </c>
      <c r="O98">
        <f t="shared" si="22"/>
        <v>3.3726812816188868E-3</v>
      </c>
      <c r="P98">
        <f t="shared" si="32"/>
        <v>16.743478198446546</v>
      </c>
      <c r="Q98">
        <f t="shared" si="23"/>
        <v>2.4074150354488708E-3</v>
      </c>
      <c r="S98" s="1">
        <v>45855</v>
      </c>
      <c r="T98">
        <v>829</v>
      </c>
      <c r="U98">
        <f t="shared" si="24"/>
        <v>-3.2463628712276608E-3</v>
      </c>
      <c r="V98">
        <f t="shared" si="33"/>
        <v>24.732206279301014</v>
      </c>
      <c r="W98">
        <f t="shared" si="25"/>
        <v>-5.4957172466713871E-3</v>
      </c>
      <c r="Y98" s="1">
        <v>45855</v>
      </c>
      <c r="Z98" s="2">
        <v>1583.5</v>
      </c>
      <c r="AA98" s="4">
        <f t="shared" si="26"/>
        <v>-1.5175073076683929E-2</v>
      </c>
      <c r="AB98">
        <f t="shared" si="34"/>
        <v>19.745508133537374</v>
      </c>
      <c r="AC98">
        <f t="shared" si="27"/>
        <v>-1.4043527137038594E-2</v>
      </c>
      <c r="AE98">
        <f t="shared" si="28"/>
        <v>114.5256615553038</v>
      </c>
      <c r="AF98">
        <f t="shared" si="29"/>
        <v>-1.5897663442203669E-3</v>
      </c>
      <c r="AH98">
        <v>4.2651067726006669E-3</v>
      </c>
      <c r="AI98">
        <v>2.6218313909936567E-2</v>
      </c>
      <c r="AJ98">
        <v>-4.8846391465059624E-3</v>
      </c>
      <c r="AK98">
        <v>1.6429070512791927E-2</v>
      </c>
      <c r="AL98">
        <v>1.5195622629857358E-2</v>
      </c>
    </row>
    <row r="99" spans="1:46" x14ac:dyDescent="0.3">
      <c r="A99" s="1">
        <v>45856</v>
      </c>
      <c r="B99" s="2">
        <v>1030.2</v>
      </c>
      <c r="C99">
        <f t="shared" si="18"/>
        <v>-1.8950576135606006E-2</v>
      </c>
      <c r="D99">
        <f t="shared" si="30"/>
        <v>21.574869109947642</v>
      </c>
      <c r="E99">
        <f t="shared" si="19"/>
        <v>-2.0009252152667523E-2</v>
      </c>
      <c r="G99" s="1">
        <v>45856</v>
      </c>
      <c r="H99">
        <v>407.9</v>
      </c>
      <c r="I99">
        <f t="shared" si="20"/>
        <v>-1.3423630426895662E-2</v>
      </c>
      <c r="J99">
        <f t="shared" si="31"/>
        <v>30.892513836294793</v>
      </c>
      <c r="K99">
        <f t="shared" si="21"/>
        <v>-1.3944608420895739E-2</v>
      </c>
      <c r="M99" s="1">
        <v>45856</v>
      </c>
      <c r="N99" s="2">
        <v>12498</v>
      </c>
      <c r="O99">
        <f t="shared" si="22"/>
        <v>2.4009603841536616E-4</v>
      </c>
      <c r="P99">
        <f t="shared" si="32"/>
        <v>16.747498241231288</v>
      </c>
      <c r="Q99">
        <f t="shared" si="23"/>
        <v>-7.251702077546501E-4</v>
      </c>
      <c r="S99" s="1">
        <v>45856</v>
      </c>
      <c r="T99">
        <v>823.35</v>
      </c>
      <c r="U99">
        <f t="shared" si="24"/>
        <v>-6.8154402895054004E-3</v>
      </c>
      <c r="V99">
        <f t="shared" si="33"/>
        <v>24.563645404176707</v>
      </c>
      <c r="W99">
        <f t="shared" si="25"/>
        <v>-9.064794664949128E-3</v>
      </c>
      <c r="Y99" s="1">
        <v>45856</v>
      </c>
      <c r="Z99" s="2">
        <v>1586.1</v>
      </c>
      <c r="AA99" s="4">
        <f t="shared" si="26"/>
        <v>1.6419324281653988E-3</v>
      </c>
      <c r="AB99">
        <f t="shared" si="34"/>
        <v>19.777928923652432</v>
      </c>
      <c r="AC99">
        <f t="shared" si="27"/>
        <v>2.7734783678107335E-3</v>
      </c>
      <c r="AE99">
        <f t="shared" si="28"/>
        <v>113.55645551530286</v>
      </c>
      <c r="AF99">
        <f t="shared" si="29"/>
        <v>-8.4627849063584337E-3</v>
      </c>
      <c r="AH99">
        <v>1.0013921710648865E-2</v>
      </c>
      <c r="AI99">
        <v>-3.5352051461582643E-3</v>
      </c>
      <c r="AJ99">
        <v>2.4074150354488708E-3</v>
      </c>
      <c r="AK99">
        <v>-5.4957172466713871E-3</v>
      </c>
      <c r="AL99">
        <v>-1.4043527137038594E-2</v>
      </c>
    </row>
    <row r="100" spans="1:46" x14ac:dyDescent="0.3">
      <c r="A100" s="1">
        <v>45859</v>
      </c>
      <c r="B100" s="2">
        <v>1036.5999999999999</v>
      </c>
      <c r="C100">
        <f t="shared" si="18"/>
        <v>6.2123859444766678E-3</v>
      </c>
      <c r="D100">
        <f t="shared" si="30"/>
        <v>21.708900523560207</v>
      </c>
      <c r="E100">
        <f t="shared" si="19"/>
        <v>5.1537099274151527E-3</v>
      </c>
      <c r="G100" s="1">
        <v>45859</v>
      </c>
      <c r="H100">
        <v>401.85</v>
      </c>
      <c r="I100">
        <f t="shared" si="20"/>
        <v>-1.4832066683010431E-2</v>
      </c>
      <c r="J100">
        <f t="shared" si="31"/>
        <v>30.434314011069048</v>
      </c>
      <c r="K100">
        <f t="shared" si="21"/>
        <v>-1.5353044677010508E-2</v>
      </c>
      <c r="M100" s="1">
        <v>45859</v>
      </c>
      <c r="N100" s="2">
        <v>12577</v>
      </c>
      <c r="O100">
        <f t="shared" si="22"/>
        <v>6.3210113618178913E-3</v>
      </c>
      <c r="P100">
        <f t="shared" si="32"/>
        <v>16.853359367896136</v>
      </c>
      <c r="Q100">
        <f t="shared" si="23"/>
        <v>5.3557451156478753E-3</v>
      </c>
      <c r="S100" s="1">
        <v>45859</v>
      </c>
      <c r="T100">
        <v>824.2</v>
      </c>
      <c r="U100">
        <f t="shared" si="24"/>
        <v>1.0323677658347272E-3</v>
      </c>
      <c r="V100">
        <f t="shared" si="33"/>
        <v>24.589004119903375</v>
      </c>
      <c r="W100">
        <f t="shared" si="25"/>
        <v>-1.2169866096089995E-3</v>
      </c>
      <c r="Y100" s="1">
        <v>45859</v>
      </c>
      <c r="Z100" s="2">
        <v>1584.3</v>
      </c>
      <c r="AA100" s="4">
        <f t="shared" si="26"/>
        <v>-1.1348590883298371E-3</v>
      </c>
      <c r="AB100">
        <f t="shared" si="34"/>
        <v>19.755483761265083</v>
      </c>
      <c r="AC100">
        <f t="shared" si="27"/>
        <v>-3.3131486845026578E-6</v>
      </c>
      <c r="AE100">
        <f t="shared" si="28"/>
        <v>113.34106178369385</v>
      </c>
      <c r="AF100">
        <f t="shared" si="29"/>
        <v>-1.8967986507819612E-3</v>
      </c>
      <c r="AH100">
        <v>-2.0009252152667523E-2</v>
      </c>
      <c r="AI100">
        <v>-1.3944608420895739E-2</v>
      </c>
      <c r="AJ100">
        <v>-7.251702077546501E-4</v>
      </c>
      <c r="AK100">
        <v>-9.064794664949128E-3</v>
      </c>
      <c r="AL100">
        <v>2.7734783678107335E-3</v>
      </c>
      <c r="AO100" s="28" t="s">
        <v>42</v>
      </c>
      <c r="AP100" s="28" t="s">
        <v>52</v>
      </c>
      <c r="AQ100" s="28" t="s">
        <v>49</v>
      </c>
      <c r="AS100" s="28" t="s">
        <v>50</v>
      </c>
      <c r="AT100" s="38">
        <v>6.7500000000000004E-2</v>
      </c>
    </row>
    <row r="101" spans="1:46" x14ac:dyDescent="0.3">
      <c r="A101" s="1">
        <v>45860</v>
      </c>
      <c r="B101" s="2">
        <v>1013.7</v>
      </c>
      <c r="C101">
        <f t="shared" si="18"/>
        <v>-2.2091452826548202E-2</v>
      </c>
      <c r="D101">
        <f t="shared" si="30"/>
        <v>21.229319371727748</v>
      </c>
      <c r="E101">
        <f t="shared" si="19"/>
        <v>-2.3150128843609716E-2</v>
      </c>
      <c r="G101" s="1">
        <v>45860</v>
      </c>
      <c r="H101">
        <v>399.15</v>
      </c>
      <c r="I101">
        <f t="shared" si="20"/>
        <v>-6.7189249720045916E-3</v>
      </c>
      <c r="J101">
        <f t="shared" si="31"/>
        <v>30.229828138654248</v>
      </c>
      <c r="K101">
        <f t="shared" si="21"/>
        <v>-7.2399029660046698E-3</v>
      </c>
      <c r="M101" s="1">
        <v>45860</v>
      </c>
      <c r="N101" s="2">
        <v>12452</v>
      </c>
      <c r="O101">
        <f t="shared" si="22"/>
        <v>-9.9387771328615735E-3</v>
      </c>
      <c r="P101">
        <f t="shared" si="32"/>
        <v>16.68585758519859</v>
      </c>
      <c r="Q101">
        <f t="shared" si="23"/>
        <v>-1.090404337903159E-2</v>
      </c>
      <c r="S101" s="1">
        <v>45860</v>
      </c>
      <c r="T101">
        <v>815</v>
      </c>
      <c r="U101">
        <f t="shared" si="24"/>
        <v>-1.1162339238049072E-2</v>
      </c>
      <c r="V101">
        <f t="shared" si="33"/>
        <v>24.314533314391227</v>
      </c>
      <c r="W101">
        <f t="shared" si="25"/>
        <v>-1.3411693613492799E-2</v>
      </c>
      <c r="Y101" s="1">
        <v>45860</v>
      </c>
      <c r="Z101" s="2">
        <v>1570.9</v>
      </c>
      <c r="AA101" s="4">
        <f t="shared" si="26"/>
        <v>-8.4579940667801959E-3</v>
      </c>
      <c r="AB101">
        <f t="shared" si="34"/>
        <v>19.58839199682593</v>
      </c>
      <c r="AC101">
        <f t="shared" si="27"/>
        <v>-7.326448127134861E-3</v>
      </c>
      <c r="AE101">
        <f t="shared" si="28"/>
        <v>112.04793040679775</v>
      </c>
      <c r="AF101">
        <f t="shared" si="29"/>
        <v>-1.1409204718445087E-2</v>
      </c>
      <c r="AH101">
        <v>5.1537099274151527E-3</v>
      </c>
      <c r="AI101">
        <v>-1.5353044677010508E-2</v>
      </c>
      <c r="AJ101">
        <v>5.3557451156478753E-3</v>
      </c>
      <c r="AK101">
        <v>-1.2169866096089995E-3</v>
      </c>
      <c r="AL101">
        <v>-3.3131486845026578E-6</v>
      </c>
      <c r="AO101" s="21" t="s">
        <v>23</v>
      </c>
      <c r="AP101" s="3">
        <v>0.26043430019713271</v>
      </c>
      <c r="AQ101" s="3">
        <v>2.6922799943248428E-2</v>
      </c>
    </row>
    <row r="102" spans="1:46" x14ac:dyDescent="0.3">
      <c r="A102" s="1">
        <v>45861</v>
      </c>
      <c r="B102" s="2">
        <v>1033.9000000000001</v>
      </c>
      <c r="C102">
        <f t="shared" si="18"/>
        <v>1.9927000098648558E-2</v>
      </c>
      <c r="D102">
        <f t="shared" si="30"/>
        <v>21.652356020942406</v>
      </c>
      <c r="E102">
        <f t="shared" si="19"/>
        <v>1.8868324081587041E-2</v>
      </c>
      <c r="G102" s="1">
        <v>45861</v>
      </c>
      <c r="H102">
        <v>402.5</v>
      </c>
      <c r="I102">
        <f t="shared" si="20"/>
        <v>8.3928347738945839E-3</v>
      </c>
      <c r="J102">
        <f t="shared" si="31"/>
        <v>30.483542091465203</v>
      </c>
      <c r="K102">
        <f t="shared" si="21"/>
        <v>7.8718567798945066E-3</v>
      </c>
      <c r="M102" s="1">
        <v>45861</v>
      </c>
      <c r="N102" s="2">
        <v>12372</v>
      </c>
      <c r="O102">
        <f t="shared" si="22"/>
        <v>-6.4246707356247993E-3</v>
      </c>
      <c r="P102">
        <f t="shared" si="32"/>
        <v>16.578656444272163</v>
      </c>
      <c r="Q102">
        <f t="shared" si="23"/>
        <v>-7.3899369817948153E-3</v>
      </c>
      <c r="S102" s="1">
        <v>45861</v>
      </c>
      <c r="T102">
        <v>820.65</v>
      </c>
      <c r="U102">
        <f t="shared" si="24"/>
        <v>6.9325153374232848E-3</v>
      </c>
      <c r="V102">
        <f t="shared" si="33"/>
        <v>24.483094189515533</v>
      </c>
      <c r="W102">
        <f t="shared" si="25"/>
        <v>4.6831609619795581E-3</v>
      </c>
      <c r="Y102" s="1">
        <v>45861</v>
      </c>
      <c r="Z102" s="2">
        <v>1574.5</v>
      </c>
      <c r="AA102" s="4">
        <f t="shared" si="26"/>
        <v>2.2916799287032333E-3</v>
      </c>
      <c r="AB102">
        <f t="shared" si="34"/>
        <v>19.633282321600625</v>
      </c>
      <c r="AC102">
        <f t="shared" si="27"/>
        <v>3.4232258683485678E-3</v>
      </c>
      <c r="AE102">
        <f t="shared" si="28"/>
        <v>112.83093106779593</v>
      </c>
      <c r="AF102">
        <f t="shared" si="29"/>
        <v>6.9880867781799694E-3</v>
      </c>
      <c r="AH102">
        <v>-2.3150128843609716E-2</v>
      </c>
      <c r="AI102">
        <v>-7.2399029660046698E-3</v>
      </c>
      <c r="AJ102">
        <v>-1.090404337903159E-2</v>
      </c>
      <c r="AK102">
        <v>-1.3411693613492799E-2</v>
      </c>
      <c r="AL102">
        <v>-7.326448127134861E-3</v>
      </c>
      <c r="AO102" s="22" t="s">
        <v>30</v>
      </c>
      <c r="AP102" s="3">
        <v>0.12816058652401913</v>
      </c>
      <c r="AQ102" s="3">
        <v>1.3792767596130025E-2</v>
      </c>
    </row>
    <row r="103" spans="1:46" x14ac:dyDescent="0.3">
      <c r="A103" s="1">
        <v>45862</v>
      </c>
      <c r="B103" s="2">
        <v>1020.7</v>
      </c>
      <c r="C103">
        <f t="shared" si="18"/>
        <v>-1.2767192184930887E-2</v>
      </c>
      <c r="D103">
        <f t="shared" si="30"/>
        <v>21.375916230366489</v>
      </c>
      <c r="E103">
        <f t="shared" si="19"/>
        <v>-1.3825868201992402E-2</v>
      </c>
      <c r="G103" s="1">
        <v>45862</v>
      </c>
      <c r="H103">
        <v>400.7</v>
      </c>
      <c r="I103">
        <f t="shared" si="20"/>
        <v>-4.4720496894410221E-3</v>
      </c>
      <c r="J103">
        <f t="shared" si="31"/>
        <v>30.347218176522002</v>
      </c>
      <c r="K103">
        <f t="shared" si="21"/>
        <v>-4.9930276834410994E-3</v>
      </c>
      <c r="M103" s="1">
        <v>45862</v>
      </c>
      <c r="N103" s="2">
        <v>12304</v>
      </c>
      <c r="O103">
        <f t="shared" si="22"/>
        <v>-5.4962819269317818E-3</v>
      </c>
      <c r="P103">
        <f t="shared" si="32"/>
        <v>16.487535474484698</v>
      </c>
      <c r="Q103">
        <f t="shared" si="23"/>
        <v>-6.4615481731017978E-3</v>
      </c>
      <c r="S103" s="1">
        <v>45862</v>
      </c>
      <c r="T103">
        <v>815.7</v>
      </c>
      <c r="U103">
        <f t="shared" si="24"/>
        <v>-6.0318040577590102E-3</v>
      </c>
      <c r="V103">
        <f t="shared" si="33"/>
        <v>24.335416962636717</v>
      </c>
      <c r="W103">
        <f t="shared" si="25"/>
        <v>-8.2811584332027378E-3</v>
      </c>
      <c r="Y103" s="1">
        <v>45862</v>
      </c>
      <c r="Z103" s="2">
        <v>1552.5</v>
      </c>
      <c r="AA103" s="4">
        <f t="shared" si="26"/>
        <v>-1.3972689742775483E-2</v>
      </c>
      <c r="AB103">
        <f t="shared" si="34"/>
        <v>19.358952559088582</v>
      </c>
      <c r="AC103">
        <f t="shared" si="27"/>
        <v>-1.2841143803130148E-2</v>
      </c>
      <c r="AE103">
        <f t="shared" si="28"/>
        <v>111.90503940309848</v>
      </c>
      <c r="AF103">
        <f t="shared" si="29"/>
        <v>-8.2060092559291808E-3</v>
      </c>
      <c r="AH103">
        <v>1.8868324081587041E-2</v>
      </c>
      <c r="AI103">
        <v>7.8718567798945066E-3</v>
      </c>
      <c r="AJ103">
        <v>-7.3899369817948153E-3</v>
      </c>
      <c r="AK103">
        <v>4.6831609619795581E-3</v>
      </c>
      <c r="AL103">
        <v>3.4232258683485678E-3</v>
      </c>
    </row>
    <row r="104" spans="1:46" x14ac:dyDescent="0.3">
      <c r="A104" s="1">
        <v>45863</v>
      </c>
      <c r="B104">
        <v>975.9</v>
      </c>
      <c r="C104">
        <f t="shared" si="18"/>
        <v>-4.3891447046144866E-2</v>
      </c>
      <c r="D104">
        <f t="shared" si="30"/>
        <v>20.437696335078527</v>
      </c>
      <c r="E104">
        <f t="shared" si="19"/>
        <v>-4.4950123063206379E-2</v>
      </c>
      <c r="G104" s="1">
        <v>45863</v>
      </c>
      <c r="H104">
        <v>395.35</v>
      </c>
      <c r="I104">
        <f t="shared" si="20"/>
        <v>-1.3351634639380999E-2</v>
      </c>
      <c r="J104">
        <f t="shared" si="31"/>
        <v>29.942033207107496</v>
      </c>
      <c r="K104">
        <f t="shared" si="21"/>
        <v>-1.3872612633381076E-2</v>
      </c>
      <c r="M104" s="1">
        <v>45863</v>
      </c>
      <c r="N104" s="2">
        <v>12250</v>
      </c>
      <c r="O104">
        <f t="shared" si="22"/>
        <v>-4.3888166449934981E-3</v>
      </c>
      <c r="P104">
        <f t="shared" si="32"/>
        <v>16.415174704359359</v>
      </c>
      <c r="Q104">
        <f t="shared" si="23"/>
        <v>-5.3540828911635141E-3</v>
      </c>
      <c r="S104" s="1">
        <v>45863</v>
      </c>
      <c r="T104">
        <v>806.55</v>
      </c>
      <c r="U104">
        <f t="shared" si="24"/>
        <v>-1.1217359323280728E-2</v>
      </c>
      <c r="V104">
        <f t="shared" si="33"/>
        <v>24.062437846284961</v>
      </c>
      <c r="W104">
        <f t="shared" si="25"/>
        <v>-1.3466713698724455E-2</v>
      </c>
      <c r="Y104" s="1">
        <v>45863</v>
      </c>
      <c r="Z104" s="2">
        <v>1515.7</v>
      </c>
      <c r="AA104" s="4">
        <f t="shared" si="26"/>
        <v>-2.3703703703703675E-2</v>
      </c>
      <c r="AB104">
        <f t="shared" si="34"/>
        <v>18.90007368361389</v>
      </c>
      <c r="AC104">
        <f t="shared" si="27"/>
        <v>-2.257215776405834E-2</v>
      </c>
      <c r="AE104">
        <f t="shared" si="28"/>
        <v>109.75741577644423</v>
      </c>
      <c r="AF104">
        <f t="shared" si="29"/>
        <v>-1.9191482690231632E-2</v>
      </c>
      <c r="AH104">
        <v>-1.3825868201992402E-2</v>
      </c>
      <c r="AI104">
        <v>-4.9930276834410994E-3</v>
      </c>
      <c r="AJ104">
        <v>-6.4615481731017978E-3</v>
      </c>
      <c r="AK104">
        <v>-8.2811584332027378E-3</v>
      </c>
      <c r="AL104">
        <v>-1.2841143803130148E-2</v>
      </c>
      <c r="AO104" t="s">
        <v>48</v>
      </c>
    </row>
    <row r="105" spans="1:46" x14ac:dyDescent="0.3">
      <c r="A105" s="1">
        <v>45866</v>
      </c>
      <c r="B105" s="2">
        <v>1003.9</v>
      </c>
      <c r="C105">
        <f t="shared" si="18"/>
        <v>2.8691464289373914E-2</v>
      </c>
      <c r="D105">
        <f t="shared" si="30"/>
        <v>21.024083769633499</v>
      </c>
      <c r="E105">
        <f t="shared" si="19"/>
        <v>2.76327882723124E-2</v>
      </c>
      <c r="G105" s="1">
        <v>45866</v>
      </c>
      <c r="H105">
        <v>399.2</v>
      </c>
      <c r="I105">
        <f t="shared" si="20"/>
        <v>9.7382066523332891E-3</v>
      </c>
      <c r="J105">
        <f t="shared" si="31"/>
        <v>30.233614914069335</v>
      </c>
      <c r="K105">
        <f t="shared" si="21"/>
        <v>9.2172286583332118E-3</v>
      </c>
      <c r="M105" s="1">
        <v>45866</v>
      </c>
      <c r="N105" s="2">
        <v>12240</v>
      </c>
      <c r="O105">
        <f t="shared" si="22"/>
        <v>-8.1632653061224493E-4</v>
      </c>
      <c r="P105">
        <f t="shared" si="32"/>
        <v>16.401774561743554</v>
      </c>
      <c r="Q105">
        <f t="shared" si="23"/>
        <v>-1.7815927767822612E-3</v>
      </c>
      <c r="S105" s="1">
        <v>45866</v>
      </c>
      <c r="T105">
        <v>797.15</v>
      </c>
      <c r="U105">
        <f t="shared" si="24"/>
        <v>-1.1654578141466714E-2</v>
      </c>
      <c r="V105">
        <f t="shared" si="33"/>
        <v>23.782000284131247</v>
      </c>
      <c r="W105">
        <f t="shared" si="25"/>
        <v>-1.3903932516910441E-2</v>
      </c>
      <c r="Y105" s="1">
        <v>45866</v>
      </c>
      <c r="Z105" s="2">
        <v>1516</v>
      </c>
      <c r="AA105" s="4">
        <f t="shared" si="26"/>
        <v>1.9792834993729268E-4</v>
      </c>
      <c r="AB105">
        <f t="shared" si="34"/>
        <v>18.903814544011784</v>
      </c>
      <c r="AC105">
        <f t="shared" si="27"/>
        <v>1.3294742895826272E-3</v>
      </c>
      <c r="AE105">
        <f t="shared" si="28"/>
        <v>110.34528807358942</v>
      </c>
      <c r="AF105">
        <f t="shared" si="29"/>
        <v>5.3561054894237792E-3</v>
      </c>
      <c r="AH105">
        <v>-4.4950123063206379E-2</v>
      </c>
      <c r="AI105">
        <v>-1.3872612633381076E-2</v>
      </c>
      <c r="AJ105">
        <v>-5.3540828911635141E-3</v>
      </c>
      <c r="AK105">
        <v>-1.3466713698724455E-2</v>
      </c>
      <c r="AL105">
        <v>-2.257215776405834E-2</v>
      </c>
      <c r="AO105">
        <v>0.61774293112141987</v>
      </c>
    </row>
    <row r="106" spans="1:46" x14ac:dyDescent="0.3">
      <c r="A106" s="1">
        <v>45867</v>
      </c>
      <c r="B106" s="2">
        <v>1015.6</v>
      </c>
      <c r="C106">
        <f t="shared" si="18"/>
        <v>1.1654547265663956E-2</v>
      </c>
      <c r="D106">
        <f t="shared" si="30"/>
        <v>21.269109947643972</v>
      </c>
      <c r="E106">
        <f t="shared" si="19"/>
        <v>1.059587124860244E-2</v>
      </c>
      <c r="G106" s="1">
        <v>45867</v>
      </c>
      <c r="H106">
        <v>399.85</v>
      </c>
      <c r="I106">
        <f t="shared" si="20"/>
        <v>1.6282565130261376E-3</v>
      </c>
      <c r="J106">
        <f t="shared" si="31"/>
        <v>30.282842994465494</v>
      </c>
      <c r="K106">
        <f t="shared" si="21"/>
        <v>1.1072785190260599E-3</v>
      </c>
      <c r="M106" s="1">
        <v>45867</v>
      </c>
      <c r="N106" s="2">
        <v>12221</v>
      </c>
      <c r="O106">
        <f t="shared" si="22"/>
        <v>-1.5522875816993463E-3</v>
      </c>
      <c r="P106">
        <f t="shared" si="32"/>
        <v>16.376314290773529</v>
      </c>
      <c r="Q106">
        <f t="shared" si="23"/>
        <v>-2.5175538278693625E-3</v>
      </c>
      <c r="S106" s="1">
        <v>45867</v>
      </c>
      <c r="T106">
        <v>799.2</v>
      </c>
      <c r="U106">
        <f t="shared" si="24"/>
        <v>2.5716615442514814E-3</v>
      </c>
      <c r="V106">
        <f t="shared" si="33"/>
        <v>23.843159539707326</v>
      </c>
      <c r="W106">
        <f t="shared" si="25"/>
        <v>3.2230716880775464E-4</v>
      </c>
      <c r="Y106" s="1">
        <v>45867</v>
      </c>
      <c r="Z106" s="2">
        <v>1513.7</v>
      </c>
      <c r="AA106" s="4">
        <f t="shared" si="26"/>
        <v>-1.517150395778334E-3</v>
      </c>
      <c r="AB106">
        <f t="shared" si="34"/>
        <v>18.875134614294616</v>
      </c>
      <c r="AC106">
        <f t="shared" si="27"/>
        <v>-3.8560445613299954E-4</v>
      </c>
      <c r="AE106">
        <f t="shared" si="28"/>
        <v>110.64656138688493</v>
      </c>
      <c r="AF106">
        <f t="shared" si="29"/>
        <v>2.7302780078346522E-3</v>
      </c>
      <c r="AH106">
        <v>2.76327882723124E-2</v>
      </c>
      <c r="AI106">
        <v>9.2172286583332118E-3</v>
      </c>
      <c r="AJ106">
        <v>-1.7815927767822612E-3</v>
      </c>
      <c r="AK106">
        <v>-1.3903932516910441E-2</v>
      </c>
      <c r="AL106">
        <v>1.3294742895826272E-3</v>
      </c>
    </row>
    <row r="107" spans="1:46" x14ac:dyDescent="0.3">
      <c r="A107" s="1">
        <v>45868</v>
      </c>
      <c r="B107" s="2">
        <v>1009.7</v>
      </c>
      <c r="C107">
        <f t="shared" si="18"/>
        <v>-5.8093737692004504E-3</v>
      </c>
      <c r="D107">
        <f t="shared" si="30"/>
        <v>21.145549738219888</v>
      </c>
      <c r="E107">
        <f t="shared" si="19"/>
        <v>-6.8680497862619655E-3</v>
      </c>
      <c r="G107" s="1">
        <v>45868</v>
      </c>
      <c r="H107">
        <v>401.35</v>
      </c>
      <c r="I107">
        <f t="shared" si="20"/>
        <v>3.7514067775415777E-3</v>
      </c>
      <c r="J107">
        <f t="shared" si="31"/>
        <v>30.396446256918157</v>
      </c>
      <c r="K107">
        <f t="shared" si="21"/>
        <v>3.2304287835414999E-3</v>
      </c>
      <c r="M107" s="1">
        <v>45868</v>
      </c>
      <c r="N107" s="2">
        <v>12268</v>
      </c>
      <c r="O107">
        <f t="shared" si="22"/>
        <v>3.8458391293674822E-3</v>
      </c>
      <c r="P107">
        <f t="shared" si="32"/>
        <v>16.439294961067805</v>
      </c>
      <c r="Q107">
        <f t="shared" si="23"/>
        <v>2.8805728831974662E-3</v>
      </c>
      <c r="S107" s="1">
        <v>45868</v>
      </c>
      <c r="T107">
        <v>801.65</v>
      </c>
      <c r="U107">
        <f t="shared" si="24"/>
        <v>3.06556556556548E-3</v>
      </c>
      <c r="V107">
        <f t="shared" si="33"/>
        <v>23.916252308566538</v>
      </c>
      <c r="W107">
        <f t="shared" si="25"/>
        <v>8.1621119012175326E-4</v>
      </c>
      <c r="Y107" s="1">
        <v>45868</v>
      </c>
      <c r="Z107" s="2">
        <v>1519</v>
      </c>
      <c r="AA107" s="4">
        <f t="shared" si="26"/>
        <v>3.5013542974168953E-3</v>
      </c>
      <c r="AB107">
        <f t="shared" si="34"/>
        <v>18.941223147990701</v>
      </c>
      <c r="AC107">
        <f t="shared" si="27"/>
        <v>4.6329002370622298E-3</v>
      </c>
      <c r="AE107">
        <f t="shared" si="28"/>
        <v>110.83876641276308</v>
      </c>
      <c r="AF107">
        <f t="shared" si="29"/>
        <v>1.7371079902437359E-3</v>
      </c>
      <c r="AH107">
        <v>1.059587124860244E-2</v>
      </c>
      <c r="AI107">
        <v>1.1072785190260599E-3</v>
      </c>
      <c r="AJ107">
        <v>-2.5175538278693625E-3</v>
      </c>
      <c r="AK107">
        <v>3.2230716880775464E-4</v>
      </c>
      <c r="AL107">
        <v>-3.8560445613299954E-4</v>
      </c>
      <c r="AO107" t="s">
        <v>51</v>
      </c>
    </row>
    <row r="108" spans="1:46" x14ac:dyDescent="0.3">
      <c r="A108" s="1">
        <v>45869</v>
      </c>
      <c r="B108">
        <v>984.7</v>
      </c>
      <c r="C108">
        <f t="shared" si="18"/>
        <v>-2.475982965237199E-2</v>
      </c>
      <c r="D108">
        <f t="shared" si="30"/>
        <v>20.621989528795805</v>
      </c>
      <c r="E108">
        <f t="shared" si="19"/>
        <v>-2.5818505669433507E-2</v>
      </c>
      <c r="G108" s="1">
        <v>45869</v>
      </c>
      <c r="H108">
        <v>397.75</v>
      </c>
      <c r="I108">
        <f t="shared" si="20"/>
        <v>-8.9697271707986116E-3</v>
      </c>
      <c r="J108">
        <f t="shared" si="31"/>
        <v>30.123798427031758</v>
      </c>
      <c r="K108">
        <f t="shared" si="21"/>
        <v>-9.4907051647986889E-3</v>
      </c>
      <c r="M108" s="1">
        <v>45869</v>
      </c>
      <c r="N108" s="2">
        <v>12249</v>
      </c>
      <c r="O108">
        <f t="shared" si="22"/>
        <v>-1.5487447016628627E-3</v>
      </c>
      <c r="P108">
        <f t="shared" si="32"/>
        <v>16.413834690097779</v>
      </c>
      <c r="Q108">
        <f t="shared" si="23"/>
        <v>-2.5140109478328787E-3</v>
      </c>
      <c r="S108" s="1">
        <v>45869</v>
      </c>
      <c r="T108">
        <v>796.55</v>
      </c>
      <c r="U108">
        <f t="shared" si="24"/>
        <v>-6.3618786253352745E-3</v>
      </c>
      <c r="V108">
        <f t="shared" si="33"/>
        <v>23.764100014206541</v>
      </c>
      <c r="W108">
        <f t="shared" si="25"/>
        <v>-8.6112330007790013E-3</v>
      </c>
      <c r="Y108" s="1">
        <v>45869</v>
      </c>
      <c r="Z108" s="2">
        <v>1509</v>
      </c>
      <c r="AA108" s="4">
        <f t="shared" si="26"/>
        <v>-6.5832784726793945E-3</v>
      </c>
      <c r="AB108">
        <f t="shared" si="34"/>
        <v>18.816527801394319</v>
      </c>
      <c r="AC108">
        <f t="shared" si="27"/>
        <v>-5.4517325330340604E-3</v>
      </c>
      <c r="AE108">
        <f t="shared" si="28"/>
        <v>109.74025046152622</v>
      </c>
      <c r="AF108">
        <f t="shared" si="29"/>
        <v>-9.9109362796947487E-3</v>
      </c>
      <c r="AH108">
        <v>-6.8680497862619655E-3</v>
      </c>
      <c r="AI108">
        <v>3.2304287835414999E-3</v>
      </c>
      <c r="AJ108">
        <v>2.8805728831974662E-3</v>
      </c>
      <c r="AK108">
        <v>8.1621119012175326E-4</v>
      </c>
      <c r="AL108">
        <v>4.6329002370622298E-3</v>
      </c>
      <c r="AO108">
        <v>0.1</v>
      </c>
    </row>
    <row r="109" spans="1:46" ht="15" x14ac:dyDescent="0.35">
      <c r="A109" s="1">
        <v>45870</v>
      </c>
      <c r="B109">
        <v>972.6</v>
      </c>
      <c r="C109">
        <f t="shared" si="18"/>
        <v>-1.2288006499441477E-2</v>
      </c>
      <c r="D109">
        <f t="shared" si="30"/>
        <v>20.368586387434547</v>
      </c>
      <c r="E109">
        <f t="shared" si="19"/>
        <v>-1.3346682516502992E-2</v>
      </c>
      <c r="G109" s="1">
        <v>45870</v>
      </c>
      <c r="H109">
        <v>389.3</v>
      </c>
      <c r="I109">
        <f t="shared" si="20"/>
        <v>-2.1244500314267726E-2</v>
      </c>
      <c r="J109">
        <f t="shared" si="31"/>
        <v>29.483833381881745</v>
      </c>
      <c r="K109">
        <f t="shared" si="21"/>
        <v>-2.1765478308267805E-2</v>
      </c>
      <c r="M109" s="1">
        <v>45870</v>
      </c>
      <c r="N109" s="2">
        <v>12113</v>
      </c>
      <c r="O109">
        <f t="shared" si="22"/>
        <v>-1.1102947179361581E-2</v>
      </c>
      <c r="P109">
        <f t="shared" si="32"/>
        <v>16.23159275052285</v>
      </c>
      <c r="Q109">
        <f t="shared" si="23"/>
        <v>-1.2068213425531597E-2</v>
      </c>
      <c r="S109" s="1">
        <v>45870</v>
      </c>
      <c r="T109">
        <v>794</v>
      </c>
      <c r="U109">
        <f t="shared" si="24"/>
        <v>-3.2013056305316111E-3</v>
      </c>
      <c r="V109">
        <f t="shared" si="33"/>
        <v>23.688023867026548</v>
      </c>
      <c r="W109">
        <f t="shared" si="25"/>
        <v>-5.4506600059753378E-3</v>
      </c>
      <c r="Y109" s="1">
        <v>45870</v>
      </c>
      <c r="Z109" s="2">
        <v>1469.6</v>
      </c>
      <c r="AA109" s="4">
        <f t="shared" si="26"/>
        <v>-2.6110006626905297E-2</v>
      </c>
      <c r="AB109">
        <f t="shared" si="34"/>
        <v>18.325228135804565</v>
      </c>
      <c r="AC109">
        <f t="shared" si="27"/>
        <v>-2.4978460687259962E-2</v>
      </c>
      <c r="AE109">
        <f t="shared" si="28"/>
        <v>108.09726452267024</v>
      </c>
      <c r="AF109">
        <f t="shared" si="29"/>
        <v>-1.4971589111070882E-2</v>
      </c>
      <c r="AH109">
        <v>-2.5818505669433507E-2</v>
      </c>
      <c r="AI109">
        <v>-9.4907051647986889E-3</v>
      </c>
      <c r="AJ109">
        <v>-2.5140109478328787E-3</v>
      </c>
      <c r="AK109">
        <v>-8.6112330007790013E-3</v>
      </c>
      <c r="AL109">
        <v>-5.4517325330340604E-3</v>
      </c>
      <c r="AO109" s="39">
        <v>0.2</v>
      </c>
    </row>
    <row r="110" spans="1:46" ht="15" x14ac:dyDescent="0.35">
      <c r="A110" s="1">
        <v>45873</v>
      </c>
      <c r="B110">
        <v>989.8</v>
      </c>
      <c r="C110">
        <f t="shared" si="18"/>
        <v>1.7684556857906573E-2</v>
      </c>
      <c r="D110">
        <f t="shared" si="30"/>
        <v>20.728795811518314</v>
      </c>
      <c r="E110">
        <f t="shared" si="19"/>
        <v>1.6625880840845056E-2</v>
      </c>
      <c r="G110" s="1">
        <v>45873</v>
      </c>
      <c r="H110">
        <v>387.1</v>
      </c>
      <c r="I110">
        <f t="shared" si="20"/>
        <v>-5.6511687644489814E-3</v>
      </c>
      <c r="J110">
        <f t="shared" si="31"/>
        <v>29.317215263617836</v>
      </c>
      <c r="K110">
        <f t="shared" si="21"/>
        <v>-6.1721467584490586E-3</v>
      </c>
      <c r="M110" s="1">
        <v>45873</v>
      </c>
      <c r="N110" s="2">
        <v>12257</v>
      </c>
      <c r="O110">
        <f t="shared" si="22"/>
        <v>1.1888054156691159E-2</v>
      </c>
      <c r="P110">
        <f t="shared" si="32"/>
        <v>16.424554804190421</v>
      </c>
      <c r="Q110">
        <f t="shared" si="23"/>
        <v>1.0922787910521143E-2</v>
      </c>
      <c r="S110" s="1">
        <v>45873</v>
      </c>
      <c r="T110">
        <v>795.7</v>
      </c>
      <c r="U110">
        <f t="shared" si="24"/>
        <v>2.1410579345088735E-3</v>
      </c>
      <c r="V110">
        <f t="shared" si="33"/>
        <v>23.73874129847988</v>
      </c>
      <c r="W110">
        <f t="shared" si="25"/>
        <v>-1.0829644093485321E-4</v>
      </c>
      <c r="Y110" s="1">
        <v>45873</v>
      </c>
      <c r="Z110" s="2">
        <v>1480.5</v>
      </c>
      <c r="AA110" s="4">
        <f t="shared" si="26"/>
        <v>7.4169842133914613E-3</v>
      </c>
      <c r="AB110">
        <f t="shared" si="34"/>
        <v>18.461146063594626</v>
      </c>
      <c r="AC110">
        <f t="shared" si="27"/>
        <v>8.5485301530367954E-3</v>
      </c>
      <c r="AE110">
        <f t="shared" si="28"/>
        <v>108.67045324140108</v>
      </c>
      <c r="AF110">
        <f t="shared" si="29"/>
        <v>5.3025275085534229E-3</v>
      </c>
      <c r="AH110">
        <v>-1.3346682516502992E-2</v>
      </c>
      <c r="AI110">
        <v>-2.1765478308267805E-2</v>
      </c>
      <c r="AJ110">
        <v>-1.2068213425531597E-2</v>
      </c>
      <c r="AK110">
        <v>-5.4506600059753378E-3</v>
      </c>
      <c r="AL110">
        <v>-2.4978460687259962E-2</v>
      </c>
      <c r="AO110" s="39">
        <v>0.3</v>
      </c>
    </row>
    <row r="111" spans="1:46" ht="15" x14ac:dyDescent="0.35">
      <c r="A111" s="1">
        <v>45874</v>
      </c>
      <c r="B111">
        <v>971.75</v>
      </c>
      <c r="C111">
        <f t="shared" si="18"/>
        <v>-1.8236007274196761E-2</v>
      </c>
      <c r="D111">
        <f t="shared" si="30"/>
        <v>20.350785340314129</v>
      </c>
      <c r="E111">
        <f t="shared" si="19"/>
        <v>-1.9294683291258274E-2</v>
      </c>
      <c r="G111" s="1">
        <v>45874</v>
      </c>
      <c r="H111">
        <v>385.55</v>
      </c>
      <c r="I111">
        <f t="shared" si="20"/>
        <v>-4.0041332988892051E-3</v>
      </c>
      <c r="J111">
        <f t="shared" si="31"/>
        <v>29.199825225750082</v>
      </c>
      <c r="K111">
        <f t="shared" si="21"/>
        <v>-4.5251112928892823E-3</v>
      </c>
      <c r="M111" s="1">
        <v>45874</v>
      </c>
      <c r="N111" s="2">
        <v>12298</v>
      </c>
      <c r="O111">
        <f t="shared" si="22"/>
        <v>3.3450273313208778E-3</v>
      </c>
      <c r="P111">
        <f t="shared" si="32"/>
        <v>16.479495388915218</v>
      </c>
      <c r="Q111">
        <f t="shared" si="23"/>
        <v>2.3797610851508614E-3</v>
      </c>
      <c r="S111" s="1">
        <v>45874</v>
      </c>
      <c r="T111">
        <v>800.6</v>
      </c>
      <c r="U111">
        <f t="shared" si="24"/>
        <v>6.1580997863516108E-3</v>
      </c>
      <c r="V111">
        <f t="shared" si="33"/>
        <v>23.884926836198304</v>
      </c>
      <c r="W111">
        <f t="shared" si="25"/>
        <v>3.908745410907884E-3</v>
      </c>
      <c r="Y111" s="1">
        <v>45874</v>
      </c>
      <c r="Z111" s="2">
        <v>1460.3</v>
      </c>
      <c r="AA111" s="4">
        <f t="shared" si="26"/>
        <v>-1.36440391759541E-2</v>
      </c>
      <c r="AB111">
        <f t="shared" si="34"/>
        <v>18.209261463469929</v>
      </c>
      <c r="AC111">
        <f t="shared" si="27"/>
        <v>-1.2512493236308765E-2</v>
      </c>
      <c r="AE111">
        <f t="shared" si="28"/>
        <v>108.12429425464767</v>
      </c>
      <c r="AF111">
        <f t="shared" si="29"/>
        <v>-5.0258278166943615E-3</v>
      </c>
      <c r="AH111">
        <v>1.6625880840845056E-2</v>
      </c>
      <c r="AI111">
        <v>-6.1721467584490586E-3</v>
      </c>
      <c r="AJ111">
        <v>1.0922787910521143E-2</v>
      </c>
      <c r="AK111">
        <v>-1.0829644093485321E-4</v>
      </c>
      <c r="AL111">
        <v>8.5485301530367954E-3</v>
      </c>
      <c r="AO111" s="39">
        <v>0.4</v>
      </c>
    </row>
    <row r="112" spans="1:46" ht="15" x14ac:dyDescent="0.35">
      <c r="A112" s="1">
        <v>45875</v>
      </c>
      <c r="B112">
        <v>957.55</v>
      </c>
      <c r="C112">
        <f t="shared" si="18"/>
        <v>-1.4612811937226699E-2</v>
      </c>
      <c r="D112">
        <f t="shared" si="30"/>
        <v>20.053403141361247</v>
      </c>
      <c r="E112">
        <f t="shared" si="19"/>
        <v>-1.5671487954288216E-2</v>
      </c>
      <c r="G112" s="1">
        <v>45875</v>
      </c>
      <c r="H112">
        <v>385.55</v>
      </c>
      <c r="I112">
        <f t="shared" si="20"/>
        <v>0</v>
      </c>
      <c r="J112">
        <f t="shared" si="31"/>
        <v>29.199825225750082</v>
      </c>
      <c r="K112">
        <f t="shared" si="21"/>
        <v>-5.2097799400007772E-4</v>
      </c>
      <c r="M112" s="1">
        <v>45875</v>
      </c>
      <c r="N112" s="2">
        <v>12226</v>
      </c>
      <c r="O112">
        <f t="shared" si="22"/>
        <v>-5.8546105057732962E-3</v>
      </c>
      <c r="P112">
        <f t="shared" si="32"/>
        <v>16.383014362081433</v>
      </c>
      <c r="Q112">
        <f t="shared" si="23"/>
        <v>-6.8198767519433122E-3</v>
      </c>
      <c r="S112" s="1">
        <v>45875</v>
      </c>
      <c r="T112">
        <v>805.15</v>
      </c>
      <c r="U112">
        <f t="shared" si="24"/>
        <v>5.6832375718210773E-3</v>
      </c>
      <c r="V112">
        <f t="shared" si="33"/>
        <v>24.02067054979398</v>
      </c>
      <c r="W112">
        <f t="shared" si="25"/>
        <v>3.4338831963773506E-3</v>
      </c>
      <c r="Y112" s="1">
        <v>45875</v>
      </c>
      <c r="Z112" s="2">
        <v>1436.7</v>
      </c>
      <c r="AA112" s="4">
        <f t="shared" si="26"/>
        <v>-1.616106279531597E-2</v>
      </c>
      <c r="AB112">
        <f t="shared" si="34"/>
        <v>17.914980445502465</v>
      </c>
      <c r="AC112">
        <f t="shared" si="27"/>
        <v>-1.5029516855670635E-2</v>
      </c>
      <c r="AE112">
        <f t="shared" si="28"/>
        <v>107.5718937244892</v>
      </c>
      <c r="AF112">
        <f t="shared" si="29"/>
        <v>-5.108939983991756E-3</v>
      </c>
      <c r="AH112">
        <v>-1.9294683291258274E-2</v>
      </c>
      <c r="AI112">
        <v>-4.5251112928892823E-3</v>
      </c>
      <c r="AJ112">
        <v>2.3797610851508614E-3</v>
      </c>
      <c r="AK112">
        <v>3.908745410907884E-3</v>
      </c>
      <c r="AL112">
        <v>-1.2512493236308765E-2</v>
      </c>
      <c r="AO112" s="39">
        <v>0.5</v>
      </c>
    </row>
    <row r="113" spans="1:41" ht="15" x14ac:dyDescent="0.35">
      <c r="A113" s="1">
        <v>45876</v>
      </c>
      <c r="B113">
        <v>936.7</v>
      </c>
      <c r="C113">
        <f t="shared" si="18"/>
        <v>-2.1774319878857407E-2</v>
      </c>
      <c r="D113">
        <f t="shared" si="30"/>
        <v>19.616753926701566</v>
      </c>
      <c r="E113">
        <f t="shared" si="19"/>
        <v>-2.2832995895918924E-2</v>
      </c>
      <c r="G113" s="1">
        <v>45876</v>
      </c>
      <c r="H113">
        <v>385.55</v>
      </c>
      <c r="I113">
        <f t="shared" si="20"/>
        <v>0</v>
      </c>
      <c r="J113">
        <f t="shared" si="31"/>
        <v>29.199825225750082</v>
      </c>
      <c r="K113">
        <f t="shared" si="21"/>
        <v>-5.2097799400007772E-4</v>
      </c>
      <c r="M113" s="1">
        <v>45876</v>
      </c>
      <c r="N113" s="2">
        <v>12273</v>
      </c>
      <c r="O113">
        <f t="shared" si="22"/>
        <v>3.8442663176836249E-3</v>
      </c>
      <c r="P113">
        <f t="shared" si="32"/>
        <v>16.445995032375709</v>
      </c>
      <c r="Q113">
        <f t="shared" si="23"/>
        <v>2.8790000715136089E-3</v>
      </c>
      <c r="S113" s="1">
        <v>45876</v>
      </c>
      <c r="T113">
        <v>805.15</v>
      </c>
      <c r="U113">
        <f t="shared" si="24"/>
        <v>0</v>
      </c>
      <c r="V113">
        <f t="shared" si="33"/>
        <v>24.02067054979398</v>
      </c>
      <c r="W113">
        <f t="shared" si="25"/>
        <v>-2.2493543754437267E-3</v>
      </c>
      <c r="Y113" s="1">
        <v>45876</v>
      </c>
      <c r="Z113" s="2">
        <v>1436.9</v>
      </c>
      <c r="AA113" s="4">
        <f t="shared" si="26"/>
        <v>1.3920790700914978E-4</v>
      </c>
      <c r="AB113">
        <f t="shared" si="34"/>
        <v>17.917474352434393</v>
      </c>
      <c r="AC113">
        <f t="shared" si="27"/>
        <v>1.2707538466544843E-3</v>
      </c>
      <c r="AE113">
        <f t="shared" si="28"/>
        <v>107.20071908705572</v>
      </c>
      <c r="AF113">
        <f t="shared" si="29"/>
        <v>-3.450479717165944E-3</v>
      </c>
      <c r="AH113">
        <v>-1.5671487954288216E-2</v>
      </c>
      <c r="AI113">
        <v>-5.2097799400007772E-4</v>
      </c>
      <c r="AJ113">
        <v>-6.8198767519433122E-3</v>
      </c>
      <c r="AK113">
        <v>3.4338831963773506E-3</v>
      </c>
      <c r="AL113">
        <v>-1.5029516855670635E-2</v>
      </c>
      <c r="AO113" s="39">
        <v>0.6</v>
      </c>
    </row>
    <row r="114" spans="1:41" ht="15" x14ac:dyDescent="0.35">
      <c r="A114" s="1">
        <v>45877</v>
      </c>
      <c r="B114">
        <v>914.05</v>
      </c>
      <c r="C114">
        <f t="shared" si="18"/>
        <v>-2.4180634141133864E-2</v>
      </c>
      <c r="D114">
        <f t="shared" si="30"/>
        <v>19.142408376963342</v>
      </c>
      <c r="E114">
        <f t="shared" si="19"/>
        <v>-2.5239310158195381E-2</v>
      </c>
      <c r="G114" s="1">
        <v>45877</v>
      </c>
      <c r="H114">
        <v>378.8</v>
      </c>
      <c r="I114">
        <f t="shared" si="20"/>
        <v>-1.750745687978213E-2</v>
      </c>
      <c r="J114">
        <f t="shared" si="31"/>
        <v>28.688610544713086</v>
      </c>
      <c r="K114">
        <f t="shared" si="21"/>
        <v>-1.8028434873782209E-2</v>
      </c>
      <c r="M114" s="1">
        <v>45877</v>
      </c>
      <c r="N114" s="2">
        <v>12157</v>
      </c>
      <c r="O114">
        <f t="shared" si="22"/>
        <v>-9.4516418153670657E-3</v>
      </c>
      <c r="P114">
        <f t="shared" si="32"/>
        <v>16.290553378032389</v>
      </c>
      <c r="Q114">
        <f t="shared" si="23"/>
        <v>-1.0416908061537082E-2</v>
      </c>
      <c r="S114" s="1">
        <v>45877</v>
      </c>
      <c r="T114">
        <v>804.3</v>
      </c>
      <c r="U114">
        <f t="shared" si="24"/>
        <v>-1.0557039061044808E-3</v>
      </c>
      <c r="V114">
        <f t="shared" si="33"/>
        <v>23.995311834067316</v>
      </c>
      <c r="W114">
        <f t="shared" si="25"/>
        <v>-3.3050582815482075E-3</v>
      </c>
      <c r="Y114" s="1">
        <v>45877</v>
      </c>
      <c r="Z114" s="2">
        <v>1423.1</v>
      </c>
      <c r="AA114" s="4">
        <f t="shared" si="26"/>
        <v>-9.6040086296890394E-3</v>
      </c>
      <c r="AB114">
        <f t="shared" si="34"/>
        <v>17.74539477413138</v>
      </c>
      <c r="AC114">
        <f t="shared" si="27"/>
        <v>-8.4724626900437045E-3</v>
      </c>
      <c r="AE114">
        <f t="shared" si="28"/>
        <v>105.86227890790751</v>
      </c>
      <c r="AF114">
        <f t="shared" si="29"/>
        <v>-1.248536568174774E-2</v>
      </c>
      <c r="AH114">
        <v>-2.2832995895918924E-2</v>
      </c>
      <c r="AI114">
        <v>-5.2097799400007772E-4</v>
      </c>
      <c r="AJ114">
        <v>2.8790000715136089E-3</v>
      </c>
      <c r="AK114">
        <v>-2.2493543754437267E-3</v>
      </c>
      <c r="AL114">
        <v>1.2707538466544843E-3</v>
      </c>
      <c r="AO114" s="39">
        <v>0.7</v>
      </c>
    </row>
    <row r="115" spans="1:41" ht="15" x14ac:dyDescent="0.35">
      <c r="A115" s="1">
        <v>45880</v>
      </c>
      <c r="B115">
        <v>929.1</v>
      </c>
      <c r="C115">
        <f t="shared" si="18"/>
        <v>1.6465182429845269E-2</v>
      </c>
      <c r="D115">
        <f t="shared" si="30"/>
        <v>19.457591623036642</v>
      </c>
      <c r="E115">
        <f t="shared" si="19"/>
        <v>1.5406506412783754E-2</v>
      </c>
      <c r="G115" s="1">
        <v>45880</v>
      </c>
      <c r="H115">
        <v>384.3</v>
      </c>
      <c r="I115">
        <f t="shared" si="20"/>
        <v>1.4519535374868003E-2</v>
      </c>
      <c r="J115">
        <f t="shared" si="31"/>
        <v>29.105155840372856</v>
      </c>
      <c r="K115">
        <f t="shared" si="21"/>
        <v>1.3998557380867926E-2</v>
      </c>
      <c r="M115" s="1">
        <v>45880</v>
      </c>
      <c r="N115" s="2">
        <v>12405</v>
      </c>
      <c r="O115">
        <f t="shared" si="22"/>
        <v>2.039976968001974E-2</v>
      </c>
      <c r="P115">
        <f t="shared" si="32"/>
        <v>16.622876914904317</v>
      </c>
      <c r="Q115">
        <f t="shared" si="23"/>
        <v>1.9434503433849722E-2</v>
      </c>
      <c r="S115" s="1">
        <v>45880</v>
      </c>
      <c r="T115">
        <v>823.45</v>
      </c>
      <c r="U115">
        <f t="shared" si="24"/>
        <v>2.3809523809523923E-2</v>
      </c>
      <c r="V115">
        <f t="shared" si="33"/>
        <v>24.566628782497492</v>
      </c>
      <c r="W115">
        <f t="shared" si="25"/>
        <v>2.1560169434080196E-2</v>
      </c>
      <c r="Y115" s="1">
        <v>45880</v>
      </c>
      <c r="Z115" s="2">
        <v>1428.2</v>
      </c>
      <c r="AA115" s="4">
        <f t="shared" si="26"/>
        <v>3.5837256693135667E-3</v>
      </c>
      <c r="AB115">
        <f t="shared" si="34"/>
        <v>17.808989400895538</v>
      </c>
      <c r="AC115">
        <f t="shared" si="27"/>
        <v>4.7152716089589007E-3</v>
      </c>
      <c r="AE115">
        <f t="shared" si="28"/>
        <v>107.56124256170685</v>
      </c>
      <c r="AF115">
        <f t="shared" si="29"/>
        <v>1.6048810504800448E-2</v>
      </c>
      <c r="AH115">
        <v>-2.5239310158195381E-2</v>
      </c>
      <c r="AI115">
        <v>-1.8028434873782209E-2</v>
      </c>
      <c r="AJ115">
        <v>-1.0416908061537082E-2</v>
      </c>
      <c r="AK115">
        <v>-3.3050582815482075E-3</v>
      </c>
      <c r="AL115">
        <v>-8.4724626900437045E-3</v>
      </c>
      <c r="AO115" s="39">
        <v>0.8</v>
      </c>
    </row>
    <row r="116" spans="1:41" ht="15" x14ac:dyDescent="0.35">
      <c r="A116" s="1">
        <v>45881</v>
      </c>
      <c r="B116">
        <v>930.9</v>
      </c>
      <c r="C116">
        <f t="shared" si="18"/>
        <v>1.9373587342589112E-3</v>
      </c>
      <c r="D116">
        <f t="shared" si="30"/>
        <v>19.495287958115174</v>
      </c>
      <c r="E116">
        <f t="shared" si="19"/>
        <v>8.7868271719739608E-4</v>
      </c>
      <c r="G116" s="1">
        <v>45881</v>
      </c>
      <c r="H116">
        <v>384.45</v>
      </c>
      <c r="I116">
        <f t="shared" si="20"/>
        <v>3.9032006245115079E-4</v>
      </c>
      <c r="J116">
        <f t="shared" si="31"/>
        <v>29.116516166618119</v>
      </c>
      <c r="K116">
        <f t="shared" si="21"/>
        <v>-1.3065793154892692E-4</v>
      </c>
      <c r="M116" s="1">
        <v>45881</v>
      </c>
      <c r="N116" s="2">
        <v>12449</v>
      </c>
      <c r="O116">
        <f t="shared" si="22"/>
        <v>3.5469568722289401E-3</v>
      </c>
      <c r="P116">
        <f t="shared" si="32"/>
        <v>16.681837542413852</v>
      </c>
      <c r="Q116">
        <f t="shared" si="23"/>
        <v>2.5816906260589237E-3</v>
      </c>
      <c r="S116" s="1">
        <v>45881</v>
      </c>
      <c r="T116">
        <v>820.6</v>
      </c>
      <c r="U116">
        <f t="shared" si="24"/>
        <v>-3.4610480296314561E-3</v>
      </c>
      <c r="V116">
        <f t="shared" si="33"/>
        <v>24.481602500355141</v>
      </c>
      <c r="W116">
        <f t="shared" si="25"/>
        <v>-5.7104024050751833E-3</v>
      </c>
      <c r="Y116" s="1">
        <v>45881</v>
      </c>
      <c r="Z116" s="2">
        <v>1424.1</v>
      </c>
      <c r="AA116" s="4">
        <f t="shared" si="26"/>
        <v>-2.8707463940625517E-3</v>
      </c>
      <c r="AB116">
        <f t="shared" si="34"/>
        <v>17.757864308791017</v>
      </c>
      <c r="AC116">
        <f t="shared" si="27"/>
        <v>-1.7392004544172172E-3</v>
      </c>
      <c r="AE116">
        <f t="shared" si="28"/>
        <v>107.53310847629331</v>
      </c>
      <c r="AF116">
        <f t="shared" si="29"/>
        <v>-2.6156341023486629E-4</v>
      </c>
      <c r="AH116">
        <v>1.5406506412783754E-2</v>
      </c>
      <c r="AI116">
        <v>1.3998557380867926E-2</v>
      </c>
      <c r="AJ116">
        <v>1.9434503433849722E-2</v>
      </c>
      <c r="AK116">
        <v>2.1560169434080196E-2</v>
      </c>
      <c r="AL116">
        <v>4.7152716089589007E-3</v>
      </c>
      <c r="AO116" s="39">
        <v>0.9</v>
      </c>
    </row>
    <row r="117" spans="1:41" ht="15" x14ac:dyDescent="0.35">
      <c r="A117" s="1">
        <v>45882</v>
      </c>
      <c r="B117">
        <v>924.15</v>
      </c>
      <c r="C117">
        <f t="shared" si="18"/>
        <v>-7.2510473735095072E-3</v>
      </c>
      <c r="D117">
        <f t="shared" si="30"/>
        <v>19.353926701570671</v>
      </c>
      <c r="E117">
        <f t="shared" si="19"/>
        <v>-8.3097233905710215E-3</v>
      </c>
      <c r="G117" s="1">
        <v>45882</v>
      </c>
      <c r="H117">
        <v>387.2</v>
      </c>
      <c r="I117">
        <f t="shared" si="20"/>
        <v>7.1530758226037196E-3</v>
      </c>
      <c r="J117">
        <f t="shared" si="31"/>
        <v>29.324788814448006</v>
      </c>
      <c r="K117">
        <f t="shared" si="21"/>
        <v>6.6320978286036423E-3</v>
      </c>
      <c r="M117" s="1">
        <v>45882</v>
      </c>
      <c r="N117" s="2">
        <v>12401</v>
      </c>
      <c r="O117">
        <f t="shared" si="22"/>
        <v>-3.8557313840469113E-3</v>
      </c>
      <c r="P117">
        <f t="shared" si="32"/>
        <v>16.617516857857996</v>
      </c>
      <c r="Q117">
        <f t="shared" si="23"/>
        <v>-4.8209976302169277E-3</v>
      </c>
      <c r="S117" s="1">
        <v>45882</v>
      </c>
      <c r="T117">
        <v>821.85</v>
      </c>
      <c r="U117">
        <f t="shared" si="24"/>
        <v>1.5232756519619789E-3</v>
      </c>
      <c r="V117">
        <f t="shared" si="33"/>
        <v>24.518894729364945</v>
      </c>
      <c r="W117">
        <f t="shared" si="25"/>
        <v>-7.2607872348174783E-4</v>
      </c>
      <c r="Y117" s="1">
        <v>45882</v>
      </c>
      <c r="Z117" s="2">
        <v>1426.6</v>
      </c>
      <c r="AA117" s="4">
        <f t="shared" si="26"/>
        <v>1.755494698406011E-3</v>
      </c>
      <c r="AB117">
        <f t="shared" si="34"/>
        <v>17.789038145440113</v>
      </c>
      <c r="AC117">
        <f t="shared" si="27"/>
        <v>2.8870406380513457E-3</v>
      </c>
      <c r="AE117">
        <f t="shared" si="28"/>
        <v>107.60416524868172</v>
      </c>
      <c r="AF117">
        <f t="shared" si="29"/>
        <v>6.6078971765315409E-4</v>
      </c>
      <c r="AH117">
        <v>8.7868271719739608E-4</v>
      </c>
      <c r="AI117">
        <v>-1.3065793154892692E-4</v>
      </c>
      <c r="AJ117">
        <v>2.5816906260589237E-3</v>
      </c>
      <c r="AK117">
        <v>-5.7104024050751833E-3</v>
      </c>
      <c r="AL117">
        <v>-1.7392004544172172E-3</v>
      </c>
      <c r="AO117" s="39">
        <v>1</v>
      </c>
    </row>
    <row r="118" spans="1:41" x14ac:dyDescent="0.3">
      <c r="A118" s="1">
        <v>45883</v>
      </c>
      <c r="B118">
        <v>917.5</v>
      </c>
      <c r="C118">
        <f t="shared" si="18"/>
        <v>-7.1958015473678272E-3</v>
      </c>
      <c r="D118">
        <f t="shared" si="30"/>
        <v>19.214659685863865</v>
      </c>
      <c r="E118">
        <f t="shared" si="19"/>
        <v>-8.2544775644293432E-3</v>
      </c>
      <c r="G118" s="1">
        <v>45883</v>
      </c>
      <c r="H118">
        <v>385.3</v>
      </c>
      <c r="I118">
        <f t="shared" si="20"/>
        <v>-4.9070247933883709E-3</v>
      </c>
      <c r="J118">
        <f t="shared" si="31"/>
        <v>29.180891348674631</v>
      </c>
      <c r="K118">
        <f t="shared" si="21"/>
        <v>-5.4280027873884491E-3</v>
      </c>
      <c r="M118" s="1">
        <v>45883</v>
      </c>
      <c r="N118" s="2">
        <v>12317</v>
      </c>
      <c r="O118">
        <f t="shared" si="22"/>
        <v>-6.7736472865091522E-3</v>
      </c>
      <c r="P118">
        <f t="shared" si="32"/>
        <v>16.504955659885244</v>
      </c>
      <c r="Q118">
        <f t="shared" si="23"/>
        <v>-7.7389135326791682E-3</v>
      </c>
      <c r="S118" s="1">
        <v>45883</v>
      </c>
      <c r="T118">
        <v>826.55</v>
      </c>
      <c r="U118">
        <f t="shared" si="24"/>
        <v>5.7188051347568675E-3</v>
      </c>
      <c r="V118">
        <f t="shared" si="33"/>
        <v>24.659113510441802</v>
      </c>
      <c r="W118">
        <f t="shared" si="25"/>
        <v>3.4694507593131408E-3</v>
      </c>
      <c r="Y118" s="1">
        <v>45883</v>
      </c>
      <c r="Z118" s="2">
        <v>1447.7</v>
      </c>
      <c r="AA118" s="4">
        <f t="shared" si="26"/>
        <v>1.479041076685836E-2</v>
      </c>
      <c r="AB118">
        <f t="shared" si="34"/>
        <v>18.052145326758485</v>
      </c>
      <c r="AC118">
        <f t="shared" si="27"/>
        <v>1.5921956706503693E-2</v>
      </c>
      <c r="AE118">
        <f t="shared" si="28"/>
        <v>107.61176553162403</v>
      </c>
      <c r="AF118">
        <f t="shared" si="29"/>
        <v>7.0631865641379576E-5</v>
      </c>
      <c r="AH118">
        <v>-8.3097233905710215E-3</v>
      </c>
      <c r="AI118">
        <v>6.6320978286036423E-3</v>
      </c>
      <c r="AJ118">
        <v>-4.8209976302169277E-3</v>
      </c>
      <c r="AK118">
        <v>-7.2607872348174783E-4</v>
      </c>
      <c r="AL118">
        <v>2.8870406380513457E-3</v>
      </c>
    </row>
    <row r="119" spans="1:41" x14ac:dyDescent="0.3">
      <c r="A119" s="1">
        <v>45887</v>
      </c>
      <c r="B119">
        <v>941.65</v>
      </c>
      <c r="C119">
        <f t="shared" si="18"/>
        <v>2.6321525885558559E-2</v>
      </c>
      <c r="D119">
        <f t="shared" si="30"/>
        <v>19.720418848167526</v>
      </c>
      <c r="E119">
        <f t="shared" si="19"/>
        <v>2.5262849868497042E-2</v>
      </c>
      <c r="G119" s="1">
        <v>45887</v>
      </c>
      <c r="H119">
        <v>387.3</v>
      </c>
      <c r="I119">
        <f t="shared" si="20"/>
        <v>5.1907604464053979E-3</v>
      </c>
      <c r="J119">
        <f t="shared" si="31"/>
        <v>29.332362365278186</v>
      </c>
      <c r="K119">
        <f t="shared" si="21"/>
        <v>4.6697824524053206E-3</v>
      </c>
      <c r="M119" s="1">
        <v>45887</v>
      </c>
      <c r="N119" s="2">
        <v>12765</v>
      </c>
      <c r="O119">
        <f t="shared" si="22"/>
        <v>3.6372493301940409E-2</v>
      </c>
      <c r="P119">
        <f t="shared" si="32"/>
        <v>17.105282049073246</v>
      </c>
      <c r="Q119">
        <f t="shared" si="23"/>
        <v>3.5407227055770395E-2</v>
      </c>
      <c r="S119" s="1">
        <v>45887</v>
      </c>
      <c r="T119">
        <v>827.65</v>
      </c>
      <c r="U119">
        <f t="shared" si="24"/>
        <v>1.3308329804609797E-3</v>
      </c>
      <c r="V119">
        <f t="shared" si="33"/>
        <v>24.691930671970425</v>
      </c>
      <c r="W119">
        <f t="shared" si="25"/>
        <v>-9.1852139498274708E-4</v>
      </c>
      <c r="Y119" s="1">
        <v>45887</v>
      </c>
      <c r="Z119" s="2">
        <v>1435.8</v>
      </c>
      <c r="AA119" s="4">
        <f t="shared" si="26"/>
        <v>-8.2199350694205225E-3</v>
      </c>
      <c r="AB119">
        <f t="shared" si="34"/>
        <v>17.903757864308787</v>
      </c>
      <c r="AC119">
        <f t="shared" si="27"/>
        <v>-7.0883891297751876E-3</v>
      </c>
      <c r="AE119">
        <f t="shared" si="28"/>
        <v>108.75375179879816</v>
      </c>
      <c r="AF119">
        <f t="shared" si="29"/>
        <v>1.0612094890670054E-2</v>
      </c>
      <c r="AH119">
        <v>-8.2544775644293432E-3</v>
      </c>
      <c r="AI119">
        <v>-5.4280027873884491E-3</v>
      </c>
      <c r="AJ119">
        <v>-7.7389135326791682E-3</v>
      </c>
      <c r="AK119">
        <v>3.4694507593131408E-3</v>
      </c>
      <c r="AL119">
        <v>1.5921956706503693E-2</v>
      </c>
    </row>
    <row r="120" spans="1:41" x14ac:dyDescent="0.3">
      <c r="A120" s="1">
        <v>45888</v>
      </c>
      <c r="B120">
        <v>973.4</v>
      </c>
      <c r="C120">
        <f t="shared" si="18"/>
        <v>3.3717410927627041E-2</v>
      </c>
      <c r="D120">
        <f t="shared" si="30"/>
        <v>20.385340314136112</v>
      </c>
      <c r="E120">
        <f t="shared" si="19"/>
        <v>3.2658734910565528E-2</v>
      </c>
      <c r="G120" s="1">
        <v>45888</v>
      </c>
      <c r="H120">
        <v>389.15</v>
      </c>
      <c r="I120">
        <f t="shared" si="20"/>
        <v>4.7766589207331933E-3</v>
      </c>
      <c r="J120">
        <f t="shared" si="31"/>
        <v>29.47247305563647</v>
      </c>
      <c r="K120">
        <f t="shared" si="21"/>
        <v>4.2556809267331151E-3</v>
      </c>
      <c r="M120" s="1">
        <v>45888</v>
      </c>
      <c r="N120" s="2">
        <v>12863</v>
      </c>
      <c r="O120">
        <f t="shared" si="22"/>
        <v>7.6772424598511553E-3</v>
      </c>
      <c r="P120">
        <f t="shared" si="32"/>
        <v>17.236603446708123</v>
      </c>
      <c r="Q120">
        <f t="shared" si="23"/>
        <v>6.7119762136811393E-3</v>
      </c>
      <c r="S120" s="1">
        <v>45888</v>
      </c>
      <c r="T120">
        <v>830.4</v>
      </c>
      <c r="U120">
        <f t="shared" si="24"/>
        <v>3.3226605449163294E-3</v>
      </c>
      <c r="V120">
        <f t="shared" si="33"/>
        <v>24.773973575791992</v>
      </c>
      <c r="W120">
        <f t="shared" si="25"/>
        <v>1.0733061694726026E-3</v>
      </c>
      <c r="Y120" s="1">
        <v>45888</v>
      </c>
      <c r="Z120" s="2">
        <v>1440</v>
      </c>
      <c r="AA120" s="4">
        <f t="shared" si="26"/>
        <v>2.9251984956122339E-3</v>
      </c>
      <c r="AB120">
        <f t="shared" si="34"/>
        <v>17.956129909879269</v>
      </c>
      <c r="AC120">
        <f t="shared" si="27"/>
        <v>4.0567444352575689E-3</v>
      </c>
      <c r="AE120">
        <f t="shared" si="28"/>
        <v>109.82452030215198</v>
      </c>
      <c r="AF120">
        <f t="shared" si="29"/>
        <v>9.8458074838172482E-3</v>
      </c>
      <c r="AH120">
        <v>2.5262849868497042E-2</v>
      </c>
      <c r="AI120">
        <v>4.6697824524053206E-3</v>
      </c>
      <c r="AJ120">
        <v>3.5407227055770395E-2</v>
      </c>
      <c r="AK120">
        <v>-9.1852139498274708E-4</v>
      </c>
      <c r="AL120">
        <v>-7.0883891297751876E-3</v>
      </c>
    </row>
    <row r="121" spans="1:41" x14ac:dyDescent="0.3">
      <c r="A121" s="1">
        <v>45889</v>
      </c>
      <c r="B121">
        <v>975.95</v>
      </c>
      <c r="C121">
        <f t="shared" si="18"/>
        <v>2.6196835833162814E-3</v>
      </c>
      <c r="D121">
        <f t="shared" si="30"/>
        <v>20.43874345549737</v>
      </c>
      <c r="E121">
        <f t="shared" si="19"/>
        <v>1.5610075662547663E-3</v>
      </c>
      <c r="G121" s="1">
        <v>45889</v>
      </c>
      <c r="H121">
        <v>390.55</v>
      </c>
      <c r="I121">
        <f t="shared" si="20"/>
        <v>3.5975844789927643E-3</v>
      </c>
      <c r="J121">
        <f t="shared" si="31"/>
        <v>29.578502767258964</v>
      </c>
      <c r="K121">
        <f t="shared" si="21"/>
        <v>3.0766064849926866E-3</v>
      </c>
      <c r="M121" s="1">
        <v>45889</v>
      </c>
      <c r="N121" s="2">
        <v>12874</v>
      </c>
      <c r="O121">
        <f t="shared" si="22"/>
        <v>8.5516597994247066E-4</v>
      </c>
      <c r="P121">
        <f t="shared" si="32"/>
        <v>17.251343603585507</v>
      </c>
      <c r="Q121">
        <f t="shared" si="23"/>
        <v>-1.1010026622754556E-4</v>
      </c>
      <c r="S121" s="1">
        <v>45889</v>
      </c>
      <c r="T121">
        <v>828.95</v>
      </c>
      <c r="U121">
        <f t="shared" si="24"/>
        <v>-1.7461464354527117E-3</v>
      </c>
      <c r="V121">
        <f t="shared" si="33"/>
        <v>24.730714590140625</v>
      </c>
      <c r="W121">
        <f t="shared" si="25"/>
        <v>-3.9955008108964385E-3</v>
      </c>
      <c r="Y121" s="1">
        <v>45889</v>
      </c>
      <c r="Z121" s="2">
        <v>1496.2</v>
      </c>
      <c r="AA121" s="4">
        <f t="shared" si="26"/>
        <v>3.9027777777777807E-2</v>
      </c>
      <c r="AB121">
        <f t="shared" si="34"/>
        <v>18.65691775775095</v>
      </c>
      <c r="AC121">
        <f t="shared" si="27"/>
        <v>4.0159323717423139E-2</v>
      </c>
      <c r="AE121">
        <f t="shared" si="28"/>
        <v>110.65622217423342</v>
      </c>
      <c r="AF121">
        <f t="shared" si="29"/>
        <v>7.57300710072073E-3</v>
      </c>
      <c r="AH121">
        <v>3.2658734910565528E-2</v>
      </c>
      <c r="AI121">
        <v>4.2556809267331151E-3</v>
      </c>
      <c r="AJ121">
        <v>6.7119762136811393E-3</v>
      </c>
      <c r="AK121">
        <v>1.0733061694726026E-3</v>
      </c>
      <c r="AL121">
        <v>4.0567444352575689E-3</v>
      </c>
    </row>
    <row r="122" spans="1:41" x14ac:dyDescent="0.3">
      <c r="A122" s="1">
        <v>45890</v>
      </c>
      <c r="B122">
        <v>966.6</v>
      </c>
      <c r="C122">
        <f t="shared" si="18"/>
        <v>-9.5804088324197168E-3</v>
      </c>
      <c r="D122">
        <f t="shared" si="30"/>
        <v>20.242931937172763</v>
      </c>
      <c r="E122">
        <f t="shared" si="19"/>
        <v>-1.0639084849481232E-2</v>
      </c>
      <c r="G122" s="1">
        <v>45890</v>
      </c>
      <c r="H122">
        <v>388.05</v>
      </c>
      <c r="I122">
        <f t="shared" si="20"/>
        <v>-6.4012290359749067E-3</v>
      </c>
      <c r="J122">
        <f t="shared" si="31"/>
        <v>29.389163996504521</v>
      </c>
      <c r="K122">
        <f t="shared" si="21"/>
        <v>-6.922207029974984E-3</v>
      </c>
      <c r="M122" s="1">
        <v>45890</v>
      </c>
      <c r="N122" s="2">
        <v>12870</v>
      </c>
      <c r="O122">
        <f t="shared" si="22"/>
        <v>-3.1070374398011494E-4</v>
      </c>
      <c r="P122">
        <f t="shared" si="32"/>
        <v>17.245983546539186</v>
      </c>
      <c r="Q122">
        <f t="shared" si="23"/>
        <v>-1.2759699901501312E-3</v>
      </c>
      <c r="S122" s="1">
        <v>45890</v>
      </c>
      <c r="T122">
        <v>825.7</v>
      </c>
      <c r="U122">
        <f t="shared" si="24"/>
        <v>-3.9206224742143678E-3</v>
      </c>
      <c r="V122">
        <f t="shared" si="33"/>
        <v>24.633754794715141</v>
      </c>
      <c r="W122">
        <f t="shared" si="25"/>
        <v>-6.1699768496580945E-3</v>
      </c>
      <c r="Y122" s="1">
        <v>45890</v>
      </c>
      <c r="Z122" s="2">
        <v>1496.4</v>
      </c>
      <c r="AA122" s="4">
        <f t="shared" si="26"/>
        <v>1.3367196898813358E-4</v>
      </c>
      <c r="AB122">
        <f t="shared" si="34"/>
        <v>18.659411664682878</v>
      </c>
      <c r="AC122">
        <f t="shared" si="27"/>
        <v>1.2652179086334681E-3</v>
      </c>
      <c r="AE122">
        <f t="shared" si="28"/>
        <v>110.17124593961449</v>
      </c>
      <c r="AF122">
        <f t="shared" si="29"/>
        <v>-4.3827290060138857E-3</v>
      </c>
      <c r="AH122">
        <v>1.5610075662547663E-3</v>
      </c>
      <c r="AI122">
        <v>3.0766064849926866E-3</v>
      </c>
      <c r="AJ122">
        <v>-1.1010026622754556E-4</v>
      </c>
      <c r="AK122">
        <v>-3.9955008108964385E-3</v>
      </c>
      <c r="AL122">
        <v>4.0159323717423139E-2</v>
      </c>
    </row>
    <row r="123" spans="1:41" x14ac:dyDescent="0.3">
      <c r="A123" s="1">
        <v>45891</v>
      </c>
      <c r="B123">
        <v>957.2</v>
      </c>
      <c r="C123">
        <f t="shared" si="18"/>
        <v>-9.7248086074901482E-3</v>
      </c>
      <c r="D123">
        <f t="shared" si="30"/>
        <v>20.04607329842931</v>
      </c>
      <c r="E123">
        <f t="shared" si="19"/>
        <v>-1.0783484624551663E-2</v>
      </c>
      <c r="G123" s="1">
        <v>45891</v>
      </c>
      <c r="H123">
        <v>385.6</v>
      </c>
      <c r="I123">
        <f t="shared" si="20"/>
        <v>-6.3136193789459826E-3</v>
      </c>
      <c r="J123">
        <f t="shared" si="31"/>
        <v>29.203612001165169</v>
      </c>
      <c r="K123">
        <f t="shared" si="21"/>
        <v>-6.8345973729460607E-3</v>
      </c>
      <c r="M123" s="1">
        <v>45891</v>
      </c>
      <c r="N123" s="2">
        <v>12589</v>
      </c>
      <c r="O123">
        <f t="shared" si="22"/>
        <v>-2.1833721833721835E-2</v>
      </c>
      <c r="P123">
        <f t="shared" si="32"/>
        <v>16.869439539035106</v>
      </c>
      <c r="Q123">
        <f t="shared" si="23"/>
        <v>-2.2798988079891853E-2</v>
      </c>
      <c r="S123" s="1">
        <v>45891</v>
      </c>
      <c r="T123">
        <v>816.25</v>
      </c>
      <c r="U123">
        <f t="shared" si="24"/>
        <v>-1.144483468572126E-2</v>
      </c>
      <c r="V123">
        <f t="shared" si="33"/>
        <v>24.351825543401034</v>
      </c>
      <c r="W123">
        <f t="shared" si="25"/>
        <v>-1.3694189061164987E-2</v>
      </c>
      <c r="Y123" s="1">
        <v>45891</v>
      </c>
      <c r="Z123" s="2">
        <v>1487.5</v>
      </c>
      <c r="AA123" s="4">
        <f t="shared" si="26"/>
        <v>-5.9476075915531213E-3</v>
      </c>
      <c r="AB123">
        <f t="shared" si="34"/>
        <v>18.548432806212094</v>
      </c>
      <c r="AC123">
        <f t="shared" si="27"/>
        <v>-4.8160616519077864E-3</v>
      </c>
      <c r="AE123">
        <f t="shared" si="28"/>
        <v>109.01938318824271</v>
      </c>
      <c r="AF123">
        <f t="shared" si="29"/>
        <v>-1.0455203093583276E-2</v>
      </c>
      <c r="AH123">
        <v>-1.0639084849481232E-2</v>
      </c>
      <c r="AI123">
        <v>-6.922207029974984E-3</v>
      </c>
      <c r="AJ123">
        <v>-1.2759699901501312E-3</v>
      </c>
      <c r="AK123">
        <v>-6.1699768496580945E-3</v>
      </c>
      <c r="AL123">
        <v>1.2652179086334681E-3</v>
      </c>
    </row>
    <row r="124" spans="1:41" x14ac:dyDescent="0.3">
      <c r="A124" s="1">
        <v>45894</v>
      </c>
      <c r="B124">
        <v>964.1</v>
      </c>
      <c r="C124">
        <f t="shared" si="18"/>
        <v>7.2085248641871888E-3</v>
      </c>
      <c r="D124">
        <f t="shared" si="30"/>
        <v>20.190575916230355</v>
      </c>
      <c r="E124">
        <f t="shared" si="19"/>
        <v>6.1498488471256737E-3</v>
      </c>
      <c r="G124" s="1">
        <v>45894</v>
      </c>
      <c r="H124">
        <v>383.25</v>
      </c>
      <c r="I124">
        <f t="shared" si="20"/>
        <v>-6.0943983402490217E-3</v>
      </c>
      <c r="J124">
        <f t="shared" si="31"/>
        <v>29.02563355665599</v>
      </c>
      <c r="K124">
        <f t="shared" si="21"/>
        <v>-6.6153763342490998E-3</v>
      </c>
      <c r="M124" s="1">
        <v>45894</v>
      </c>
      <c r="N124" s="2">
        <v>12606</v>
      </c>
      <c r="O124">
        <f t="shared" si="22"/>
        <v>1.3503852569703709E-3</v>
      </c>
      <c r="P124">
        <f t="shared" si="32"/>
        <v>16.89221978148197</v>
      </c>
      <c r="Q124">
        <f t="shared" si="23"/>
        <v>3.8511901080035471E-4</v>
      </c>
      <c r="S124" s="1">
        <v>45894</v>
      </c>
      <c r="T124">
        <v>816.45</v>
      </c>
      <c r="U124">
        <f t="shared" si="24"/>
        <v>2.4502297090357793E-4</v>
      </c>
      <c r="V124">
        <f t="shared" si="33"/>
        <v>24.357792300042608</v>
      </c>
      <c r="W124">
        <f t="shared" si="25"/>
        <v>-2.0043314045401486E-3</v>
      </c>
      <c r="Y124" s="1">
        <v>45894</v>
      </c>
      <c r="Z124" s="2">
        <v>1532.1</v>
      </c>
      <c r="AA124" s="4">
        <f t="shared" si="26"/>
        <v>2.9983193277310864E-2</v>
      </c>
      <c r="AB124">
        <f t="shared" si="34"/>
        <v>19.104574052031968</v>
      </c>
      <c r="AC124">
        <f t="shared" si="27"/>
        <v>3.1114739216956198E-2</v>
      </c>
      <c r="AE124">
        <f t="shared" si="28"/>
        <v>109.57079560644289</v>
      </c>
      <c r="AF124">
        <f t="shared" si="29"/>
        <v>5.0579300861393062E-3</v>
      </c>
      <c r="AH124">
        <v>-1.0783484624551663E-2</v>
      </c>
      <c r="AI124">
        <v>-6.8345973729460607E-3</v>
      </c>
      <c r="AJ124">
        <v>-2.2798988079891853E-2</v>
      </c>
      <c r="AK124">
        <v>-1.3694189061164987E-2</v>
      </c>
      <c r="AL124">
        <v>-4.8160616519077864E-3</v>
      </c>
    </row>
    <row r="125" spans="1:41" x14ac:dyDescent="0.3">
      <c r="A125" s="1">
        <v>45895</v>
      </c>
      <c r="B125">
        <v>931.25</v>
      </c>
      <c r="C125">
        <f t="shared" si="18"/>
        <v>-3.4073228918162037E-2</v>
      </c>
      <c r="D125">
        <f t="shared" si="30"/>
        <v>19.502617801047109</v>
      </c>
      <c r="E125">
        <f t="shared" si="19"/>
        <v>-3.513190493522355E-2</v>
      </c>
      <c r="G125" s="1">
        <v>45895</v>
      </c>
      <c r="H125">
        <v>377.75</v>
      </c>
      <c r="I125">
        <f t="shared" si="20"/>
        <v>-1.4350945857795172E-2</v>
      </c>
      <c r="J125">
        <f t="shared" si="31"/>
        <v>28.609088260996216</v>
      </c>
      <c r="K125">
        <f t="shared" si="21"/>
        <v>-1.4871923851795249E-2</v>
      </c>
      <c r="M125" s="1">
        <v>45895</v>
      </c>
      <c r="N125" s="2">
        <v>12610</v>
      </c>
      <c r="O125">
        <f t="shared" si="22"/>
        <v>3.1730921783277807E-4</v>
      </c>
      <c r="P125">
        <f t="shared" si="32"/>
        <v>16.897579838528291</v>
      </c>
      <c r="Q125">
        <f t="shared" si="23"/>
        <v>-6.4795702833723816E-4</v>
      </c>
      <c r="S125" s="1">
        <v>45895</v>
      </c>
      <c r="T125">
        <v>807.85</v>
      </c>
      <c r="U125">
        <f t="shared" si="24"/>
        <v>-1.0533406822218167E-2</v>
      </c>
      <c r="V125">
        <f t="shared" si="33"/>
        <v>24.101221764455165</v>
      </c>
      <c r="W125">
        <f t="shared" si="25"/>
        <v>-1.2782761197661894E-2</v>
      </c>
      <c r="Y125" s="1">
        <v>45895</v>
      </c>
      <c r="Z125" s="2">
        <v>1529.6</v>
      </c>
      <c r="AA125" s="4">
        <f t="shared" si="26"/>
        <v>-1.6317472749820508E-3</v>
      </c>
      <c r="AB125">
        <f t="shared" si="34"/>
        <v>19.073400215382872</v>
      </c>
      <c r="AC125">
        <f t="shared" si="27"/>
        <v>-5.0020133533671633E-4</v>
      </c>
      <c r="AE125">
        <f t="shared" si="28"/>
        <v>108.18390788040965</v>
      </c>
      <c r="AF125">
        <f t="shared" si="29"/>
        <v>-1.265745784136374E-2</v>
      </c>
      <c r="AH125">
        <v>6.1498488471256737E-3</v>
      </c>
      <c r="AI125">
        <v>-6.6153763342490998E-3</v>
      </c>
      <c r="AJ125">
        <v>3.8511901080035471E-4</v>
      </c>
      <c r="AK125">
        <v>-2.0043314045401486E-3</v>
      </c>
      <c r="AL125">
        <v>3.1114739216956198E-2</v>
      </c>
    </row>
    <row r="126" spans="1:41" x14ac:dyDescent="0.3">
      <c r="A126" s="1">
        <v>45897</v>
      </c>
      <c r="B126">
        <v>921.15</v>
      </c>
      <c r="C126">
        <f t="shared" si="18"/>
        <v>-1.0845637583892643E-2</v>
      </c>
      <c r="D126">
        <f t="shared" si="30"/>
        <v>19.291099476439779</v>
      </c>
      <c r="E126">
        <f t="shared" si="19"/>
        <v>-1.1904313600954158E-2</v>
      </c>
      <c r="G126" s="1">
        <v>45897</v>
      </c>
      <c r="H126">
        <v>371.1</v>
      </c>
      <c r="I126">
        <f t="shared" si="20"/>
        <v>-1.7604235605559172E-2</v>
      </c>
      <c r="J126">
        <f t="shared" si="31"/>
        <v>28.105447130789404</v>
      </c>
      <c r="K126">
        <f t="shared" si="21"/>
        <v>-1.8125213599559251E-2</v>
      </c>
      <c r="M126" s="1">
        <v>45897</v>
      </c>
      <c r="N126" s="2">
        <v>12521</v>
      </c>
      <c r="O126">
        <f t="shared" si="22"/>
        <v>-7.0578905630452023E-3</v>
      </c>
      <c r="P126">
        <f t="shared" si="32"/>
        <v>16.778318569247638</v>
      </c>
      <c r="Q126">
        <f t="shared" si="23"/>
        <v>-8.0231568092152192E-3</v>
      </c>
      <c r="S126" s="1">
        <v>45897</v>
      </c>
      <c r="T126">
        <v>801.95</v>
      </c>
      <c r="U126">
        <f t="shared" si="24"/>
        <v>-7.303336015349356E-3</v>
      </c>
      <c r="V126">
        <f t="shared" si="33"/>
        <v>23.925202443528896</v>
      </c>
      <c r="W126">
        <f t="shared" si="25"/>
        <v>-9.5526903907930828E-3</v>
      </c>
      <c r="Y126" s="1">
        <v>45897</v>
      </c>
      <c r="Z126" s="2">
        <v>1500.1</v>
      </c>
      <c r="AA126" s="4">
        <f t="shared" si="26"/>
        <v>-1.9286087866108789E-2</v>
      </c>
      <c r="AB126">
        <f t="shared" si="34"/>
        <v>18.705548942923539</v>
      </c>
      <c r="AC126">
        <f t="shared" si="27"/>
        <v>-1.8154541926463454E-2</v>
      </c>
      <c r="AE126">
        <f t="shared" si="28"/>
        <v>106.80561656292926</v>
      </c>
      <c r="AF126">
        <f t="shared" si="29"/>
        <v>-1.2740261878910863E-2</v>
      </c>
      <c r="AH126">
        <v>-3.513190493522355E-2</v>
      </c>
      <c r="AI126">
        <v>-1.4871923851795249E-2</v>
      </c>
      <c r="AJ126">
        <v>-6.4795702833723816E-4</v>
      </c>
      <c r="AK126">
        <v>-1.2782761197661894E-2</v>
      </c>
      <c r="AL126">
        <v>-5.0020133533671633E-4</v>
      </c>
    </row>
    <row r="127" spans="1:41" x14ac:dyDescent="0.3">
      <c r="A127" s="1">
        <v>45898</v>
      </c>
      <c r="B127">
        <v>913.5</v>
      </c>
      <c r="C127">
        <f t="shared" si="18"/>
        <v>-8.3048363458719833E-3</v>
      </c>
      <c r="D127">
        <f t="shared" si="30"/>
        <v>19.130890052356012</v>
      </c>
      <c r="E127">
        <f t="shared" si="19"/>
        <v>-9.3635123629334984E-3</v>
      </c>
      <c r="G127" s="1">
        <v>45898</v>
      </c>
      <c r="H127">
        <v>374.15</v>
      </c>
      <c r="I127">
        <f t="shared" si="20"/>
        <v>8.2188089463755172E-3</v>
      </c>
      <c r="J127">
        <f t="shared" si="31"/>
        <v>28.336440431109821</v>
      </c>
      <c r="K127">
        <f t="shared" si="21"/>
        <v>7.6978309523754399E-3</v>
      </c>
      <c r="M127" s="1">
        <v>45898</v>
      </c>
      <c r="N127" s="2">
        <v>12640</v>
      </c>
      <c r="O127">
        <f t="shared" si="22"/>
        <v>9.5040332241833718E-3</v>
      </c>
      <c r="P127">
        <f t="shared" si="32"/>
        <v>16.9377802663757</v>
      </c>
      <c r="Q127">
        <f t="shared" si="23"/>
        <v>8.5387669780133558E-3</v>
      </c>
      <c r="S127" s="1">
        <v>45898</v>
      </c>
      <c r="T127">
        <v>802.5</v>
      </c>
      <c r="U127">
        <f t="shared" si="24"/>
        <v>6.8582829353445291E-4</v>
      </c>
      <c r="V127">
        <f t="shared" si="33"/>
        <v>23.941611024293209</v>
      </c>
      <c r="W127">
        <f t="shared" si="25"/>
        <v>-1.5635260819092738E-3</v>
      </c>
      <c r="Y127" s="1">
        <v>45898</v>
      </c>
      <c r="Z127" s="2">
        <v>1469.6</v>
      </c>
      <c r="AA127" s="4">
        <f t="shared" si="26"/>
        <v>-2.0331977868142125E-2</v>
      </c>
      <c r="AB127">
        <f t="shared" si="34"/>
        <v>18.325228135804569</v>
      </c>
      <c r="AC127">
        <f t="shared" si="27"/>
        <v>-1.920043192849679E-2</v>
      </c>
      <c r="AE127">
        <f t="shared" si="28"/>
        <v>106.6719499099393</v>
      </c>
      <c r="AF127">
        <f t="shared" si="29"/>
        <v>-1.2514946057280429E-3</v>
      </c>
      <c r="AH127">
        <v>-1.1904313600954158E-2</v>
      </c>
      <c r="AI127">
        <v>-1.8125213599559251E-2</v>
      </c>
      <c r="AJ127">
        <v>-8.0231568092152192E-3</v>
      </c>
      <c r="AK127">
        <v>-9.5526903907930828E-3</v>
      </c>
      <c r="AL127">
        <v>-1.8154541926463454E-2</v>
      </c>
    </row>
    <row r="128" spans="1:41" x14ac:dyDescent="0.3">
      <c r="A128" s="1">
        <v>45901</v>
      </c>
      <c r="B128">
        <v>931.55</v>
      </c>
      <c r="C128">
        <f t="shared" si="18"/>
        <v>1.9759168035030056E-2</v>
      </c>
      <c r="D128">
        <f t="shared" si="30"/>
        <v>19.508900523560197</v>
      </c>
      <c r="E128">
        <f t="shared" si="19"/>
        <v>1.8700492017968542E-2</v>
      </c>
      <c r="G128" s="1">
        <v>45901</v>
      </c>
      <c r="H128">
        <v>380.55</v>
      </c>
      <c r="I128">
        <f t="shared" si="20"/>
        <v>1.7105438995055552E-2</v>
      </c>
      <c r="J128">
        <f t="shared" si="31"/>
        <v>28.821147684241197</v>
      </c>
      <c r="K128">
        <f t="shared" si="21"/>
        <v>1.6584461001055473E-2</v>
      </c>
      <c r="M128" s="1">
        <v>45901</v>
      </c>
      <c r="N128" s="2">
        <v>12826</v>
      </c>
      <c r="O128">
        <f t="shared" si="22"/>
        <v>1.4715189873417722E-2</v>
      </c>
      <c r="P128">
        <f t="shared" si="32"/>
        <v>17.187022919029644</v>
      </c>
      <c r="Q128">
        <f t="shared" si="23"/>
        <v>1.3749923627247706E-2</v>
      </c>
      <c r="S128" s="1">
        <v>45901</v>
      </c>
      <c r="T128">
        <v>806.05</v>
      </c>
      <c r="U128">
        <f t="shared" si="24"/>
        <v>4.4236760124610024E-3</v>
      </c>
      <c r="V128">
        <f t="shared" si="33"/>
        <v>24.047520954681048</v>
      </c>
      <c r="W128">
        <f t="shared" si="25"/>
        <v>2.1743216370172756E-3</v>
      </c>
      <c r="Y128" s="1">
        <v>45901</v>
      </c>
      <c r="Z128" s="2">
        <v>1499.4</v>
      </c>
      <c r="AA128" s="4">
        <f t="shared" si="26"/>
        <v>2.0277626565051839E-2</v>
      </c>
      <c r="AB128">
        <f t="shared" si="34"/>
        <v>18.696820268661796</v>
      </c>
      <c r="AC128">
        <f t="shared" si="27"/>
        <v>2.1409172504697174E-2</v>
      </c>
      <c r="AE128">
        <f t="shared" si="28"/>
        <v>108.26141235017388</v>
      </c>
      <c r="AF128">
        <f t="shared" si="29"/>
        <v>1.4900472350758864E-2</v>
      </c>
      <c r="AH128">
        <v>-9.3635123629334984E-3</v>
      </c>
      <c r="AI128">
        <v>7.6978309523754399E-3</v>
      </c>
      <c r="AJ128">
        <v>8.5387669780133558E-3</v>
      </c>
      <c r="AK128">
        <v>-1.5635260819092738E-3</v>
      </c>
      <c r="AL128">
        <v>-1.920043192849679E-2</v>
      </c>
    </row>
    <row r="129" spans="1:38" x14ac:dyDescent="0.3">
      <c r="A129" s="1">
        <v>45902</v>
      </c>
      <c r="B129">
        <v>933.85</v>
      </c>
      <c r="C129">
        <f t="shared" si="18"/>
        <v>2.4690032741131107E-3</v>
      </c>
      <c r="D129">
        <f t="shared" si="30"/>
        <v>19.557068062827213</v>
      </c>
      <c r="E129">
        <f t="shared" si="19"/>
        <v>1.4103272570515956E-3</v>
      </c>
      <c r="G129" s="1">
        <v>45902</v>
      </c>
      <c r="H129">
        <v>386.05</v>
      </c>
      <c r="I129">
        <f t="shared" si="20"/>
        <v>1.4452765733806333E-2</v>
      </c>
      <c r="J129">
        <f t="shared" si="31"/>
        <v>29.237692979900967</v>
      </c>
      <c r="K129">
        <f t="shared" si="21"/>
        <v>1.3931787739806255E-2</v>
      </c>
      <c r="M129" s="1">
        <v>45902</v>
      </c>
      <c r="N129" s="2">
        <v>12730</v>
      </c>
      <c r="O129">
        <f t="shared" si="22"/>
        <v>-7.4847965070949634E-3</v>
      </c>
      <c r="P129">
        <f t="shared" si="32"/>
        <v>17.058381549917929</v>
      </c>
      <c r="Q129">
        <f t="shared" si="23"/>
        <v>-8.4500627532649794E-3</v>
      </c>
      <c r="S129" s="1">
        <v>45902</v>
      </c>
      <c r="T129">
        <v>803.9</v>
      </c>
      <c r="U129">
        <f t="shared" si="24"/>
        <v>-2.6673283295080672E-3</v>
      </c>
      <c r="V129">
        <f t="shared" si="33"/>
        <v>23.983378320784187</v>
      </c>
      <c r="W129">
        <f t="shared" si="25"/>
        <v>-4.9166827049517935E-3</v>
      </c>
      <c r="Y129" s="1">
        <v>45902</v>
      </c>
      <c r="Z129" s="2">
        <v>1498.7</v>
      </c>
      <c r="AA129" s="4">
        <f t="shared" si="26"/>
        <v>-4.6685340802990894E-4</v>
      </c>
      <c r="AB129">
        <f t="shared" si="34"/>
        <v>18.688091594400049</v>
      </c>
      <c r="AC129">
        <f t="shared" si="27"/>
        <v>6.6469253161542555E-4</v>
      </c>
      <c r="AE129">
        <f t="shared" si="28"/>
        <v>108.52461250783034</v>
      </c>
      <c r="AF129">
        <f t="shared" si="29"/>
        <v>2.431153925880114E-3</v>
      </c>
      <c r="AH129">
        <v>1.8700492017968542E-2</v>
      </c>
      <c r="AI129">
        <v>1.6584461001055473E-2</v>
      </c>
      <c r="AJ129">
        <v>1.3749923627247706E-2</v>
      </c>
      <c r="AK129">
        <v>2.1743216370172756E-3</v>
      </c>
      <c r="AL129">
        <v>2.1409172504697174E-2</v>
      </c>
    </row>
    <row r="130" spans="1:38" x14ac:dyDescent="0.3">
      <c r="A130" s="1">
        <v>45903</v>
      </c>
      <c r="B130">
        <v>935.7</v>
      </c>
      <c r="C130">
        <f t="shared" si="18"/>
        <v>1.9810462065642477E-3</v>
      </c>
      <c r="D130">
        <f t="shared" si="30"/>
        <v>19.595811518324595</v>
      </c>
      <c r="E130">
        <f t="shared" si="19"/>
        <v>9.2237018950273256E-4</v>
      </c>
      <c r="G130" s="1">
        <v>45903</v>
      </c>
      <c r="H130">
        <v>389.15</v>
      </c>
      <c r="I130">
        <f t="shared" si="20"/>
        <v>8.0300479212536344E-3</v>
      </c>
      <c r="J130">
        <f t="shared" si="31"/>
        <v>29.47247305563647</v>
      </c>
      <c r="K130">
        <f t="shared" si="21"/>
        <v>7.5090699272535571E-3</v>
      </c>
      <c r="M130" s="1">
        <v>45903</v>
      </c>
      <c r="N130" s="2">
        <v>12733</v>
      </c>
      <c r="O130">
        <f t="shared" si="22"/>
        <v>2.356637863315004E-4</v>
      </c>
      <c r="P130">
        <f t="shared" si="32"/>
        <v>17.06240159270267</v>
      </c>
      <c r="Q130">
        <f t="shared" si="23"/>
        <v>-7.2960245983851577E-4</v>
      </c>
      <c r="S130" s="1">
        <v>45903</v>
      </c>
      <c r="T130">
        <v>812.15</v>
      </c>
      <c r="U130">
        <f t="shared" si="24"/>
        <v>1.0262470456524444E-2</v>
      </c>
      <c r="V130">
        <f t="shared" si="33"/>
        <v>24.229507032248883</v>
      </c>
      <c r="W130">
        <f t="shared" si="25"/>
        <v>8.0131160810807175E-3</v>
      </c>
      <c r="Y130" s="1">
        <v>45903</v>
      </c>
      <c r="Z130" s="2">
        <v>1479.1</v>
      </c>
      <c r="AA130" s="4">
        <f t="shared" si="26"/>
        <v>-1.3078000934143014E-2</v>
      </c>
      <c r="AB130">
        <f t="shared" si="34"/>
        <v>18.443688715071136</v>
      </c>
      <c r="AC130">
        <f t="shared" si="27"/>
        <v>-1.1946454994497679E-2</v>
      </c>
      <c r="AE130">
        <f t="shared" si="28"/>
        <v>108.80388191398376</v>
      </c>
      <c r="AF130">
        <f t="shared" si="29"/>
        <v>2.5733278350408284E-3</v>
      </c>
      <c r="AH130">
        <v>1.4103272570515956E-3</v>
      </c>
      <c r="AI130">
        <v>1.3931787739806255E-2</v>
      </c>
      <c r="AJ130">
        <v>-8.4500627532649794E-3</v>
      </c>
      <c r="AK130">
        <v>-4.9166827049517935E-3</v>
      </c>
      <c r="AL130">
        <v>6.6469253161542555E-4</v>
      </c>
    </row>
    <row r="131" spans="1:38" x14ac:dyDescent="0.3">
      <c r="A131" s="1">
        <v>45904</v>
      </c>
      <c r="B131">
        <v>929.15</v>
      </c>
      <c r="C131">
        <f t="shared" si="18"/>
        <v>-7.000106871860712E-3</v>
      </c>
      <c r="D131">
        <f t="shared" si="30"/>
        <v>19.458638743455484</v>
      </c>
      <c r="E131">
        <f t="shared" si="19"/>
        <v>-8.0587828889222279E-3</v>
      </c>
      <c r="G131" s="1">
        <v>45904</v>
      </c>
      <c r="H131">
        <v>382.6</v>
      </c>
      <c r="I131">
        <f t="shared" si="20"/>
        <v>-1.6831555955287049E-2</v>
      </c>
      <c r="J131">
        <f t="shared" si="31"/>
        <v>28.976405476259835</v>
      </c>
      <c r="K131">
        <f t="shared" si="21"/>
        <v>-1.7352533949287128E-2</v>
      </c>
      <c r="M131" s="1">
        <v>45904</v>
      </c>
      <c r="N131" s="2">
        <v>12651</v>
      </c>
      <c r="O131">
        <f t="shared" si="22"/>
        <v>-6.4399591612345876E-3</v>
      </c>
      <c r="P131">
        <f t="shared" si="32"/>
        <v>16.95252042325308</v>
      </c>
      <c r="Q131">
        <f t="shared" si="23"/>
        <v>-7.4052254074046036E-3</v>
      </c>
      <c r="S131" s="1">
        <v>45904</v>
      </c>
      <c r="T131">
        <v>809.4</v>
      </c>
      <c r="U131">
        <f t="shared" si="24"/>
        <v>-3.3860740011081697E-3</v>
      </c>
      <c r="V131">
        <f t="shared" si="33"/>
        <v>24.14746412842732</v>
      </c>
      <c r="W131">
        <f t="shared" si="25"/>
        <v>-5.6354283765518969E-3</v>
      </c>
      <c r="Y131" s="1">
        <v>45904</v>
      </c>
      <c r="Z131" s="2">
        <v>1463</v>
      </c>
      <c r="AA131" s="4">
        <f t="shared" si="26"/>
        <v>-1.0884997633696106E-2</v>
      </c>
      <c r="AB131">
        <f t="shared" si="34"/>
        <v>18.24292920705096</v>
      </c>
      <c r="AC131">
        <f t="shared" si="27"/>
        <v>-9.7534516940507715E-3</v>
      </c>
      <c r="AE131">
        <f t="shared" si="28"/>
        <v>107.77795797844666</v>
      </c>
      <c r="AF131">
        <f t="shared" si="29"/>
        <v>-9.4291115122909774E-3</v>
      </c>
      <c r="AH131">
        <v>9.2237018950273256E-4</v>
      </c>
      <c r="AI131">
        <v>7.5090699272535571E-3</v>
      </c>
      <c r="AJ131">
        <v>-7.2960245983851577E-4</v>
      </c>
      <c r="AK131">
        <v>8.0131160810807175E-3</v>
      </c>
      <c r="AL131">
        <v>-1.1946454994497679E-2</v>
      </c>
    </row>
    <row r="132" spans="1:38" x14ac:dyDescent="0.3">
      <c r="A132" s="1">
        <v>45905</v>
      </c>
      <c r="B132">
        <v>929.35</v>
      </c>
      <c r="C132">
        <f t="shared" si="18"/>
        <v>2.1525049776682505E-4</v>
      </c>
      <c r="D132">
        <f t="shared" si="30"/>
        <v>19.462827225130876</v>
      </c>
      <c r="E132">
        <f t="shared" si="19"/>
        <v>-8.4342551929469001E-4</v>
      </c>
      <c r="G132" s="1">
        <v>45905</v>
      </c>
      <c r="H132">
        <v>385.8</v>
      </c>
      <c r="I132">
        <f t="shared" si="20"/>
        <v>8.3638264506011202E-3</v>
      </c>
      <c r="J132">
        <f t="shared" si="31"/>
        <v>29.218759102825523</v>
      </c>
      <c r="K132">
        <f t="shared" si="21"/>
        <v>7.8428484566010429E-3</v>
      </c>
      <c r="M132" s="1">
        <v>45905</v>
      </c>
      <c r="N132" s="2">
        <v>12601</v>
      </c>
      <c r="O132">
        <f t="shared" si="22"/>
        <v>-3.9522567385977397E-3</v>
      </c>
      <c r="P132">
        <f t="shared" si="32"/>
        <v>16.885519710174062</v>
      </c>
      <c r="Q132">
        <f t="shared" si="23"/>
        <v>-4.9175229847677557E-3</v>
      </c>
      <c r="S132" s="1">
        <v>45905</v>
      </c>
      <c r="T132">
        <v>806.6</v>
      </c>
      <c r="U132">
        <f t="shared" si="24"/>
        <v>-3.45935260686923E-3</v>
      </c>
      <c r="V132">
        <f t="shared" si="33"/>
        <v>24.063929535445364</v>
      </c>
      <c r="W132">
        <f t="shared" si="25"/>
        <v>-5.7087069823129567E-3</v>
      </c>
      <c r="Y132" s="1">
        <v>45905</v>
      </c>
      <c r="Z132" s="2">
        <v>1444.6</v>
      </c>
      <c r="AA132" s="4">
        <f t="shared" si="26"/>
        <v>-1.2576896787423165E-2</v>
      </c>
      <c r="AB132">
        <f t="shared" si="34"/>
        <v>18.013489769313612</v>
      </c>
      <c r="AC132">
        <f t="shared" si="27"/>
        <v>-1.1445350847777831E-2</v>
      </c>
      <c r="AE132">
        <f t="shared" si="28"/>
        <v>107.64452534288945</v>
      </c>
      <c r="AF132">
        <f t="shared" si="29"/>
        <v>-1.2380326929546381E-3</v>
      </c>
      <c r="AH132">
        <v>-8.0587828889222279E-3</v>
      </c>
      <c r="AI132">
        <v>-1.7352533949287128E-2</v>
      </c>
      <c r="AJ132">
        <v>-7.4052254074046036E-3</v>
      </c>
      <c r="AK132">
        <v>-5.6354283765518969E-3</v>
      </c>
      <c r="AL132">
        <v>-9.7534516940507715E-3</v>
      </c>
    </row>
    <row r="133" spans="1:38" x14ac:dyDescent="0.3">
      <c r="A133" s="1">
        <v>45908</v>
      </c>
      <c r="B133">
        <v>937.2</v>
      </c>
      <c r="C133">
        <f t="shared" si="18"/>
        <v>8.4467638672190478E-3</v>
      </c>
      <c r="D133">
        <f t="shared" si="30"/>
        <v>19.627225130890039</v>
      </c>
      <c r="E133">
        <f t="shared" si="19"/>
        <v>7.3880878501575327E-3</v>
      </c>
      <c r="G133" s="1">
        <v>45908</v>
      </c>
      <c r="H133">
        <v>383.25</v>
      </c>
      <c r="I133">
        <f t="shared" si="20"/>
        <v>-6.6096423017107603E-3</v>
      </c>
      <c r="J133">
        <f t="shared" si="31"/>
        <v>29.02563355665599</v>
      </c>
      <c r="K133">
        <f t="shared" si="21"/>
        <v>-7.1306202957108385E-3</v>
      </c>
      <c r="M133" s="1">
        <v>45908</v>
      </c>
      <c r="N133" s="2">
        <v>12664</v>
      </c>
      <c r="O133">
        <f t="shared" si="22"/>
        <v>4.9996032060947541E-3</v>
      </c>
      <c r="P133">
        <f t="shared" si="32"/>
        <v>16.969940608653626</v>
      </c>
      <c r="Q133">
        <f t="shared" si="23"/>
        <v>4.0343369599247381E-3</v>
      </c>
      <c r="S133" s="1">
        <v>45908</v>
      </c>
      <c r="T133">
        <v>808.8</v>
      </c>
      <c r="U133">
        <f t="shared" si="24"/>
        <v>2.7274981403420922E-3</v>
      </c>
      <c r="V133">
        <f t="shared" si="33"/>
        <v>24.129563858502614</v>
      </c>
      <c r="W133">
        <f t="shared" si="25"/>
        <v>4.7814376489836545E-4</v>
      </c>
      <c r="Y133" s="1">
        <v>45908</v>
      </c>
      <c r="Z133" s="2">
        <v>1432.9</v>
      </c>
      <c r="AA133" s="4">
        <f t="shared" si="26"/>
        <v>-8.0991277862382804E-3</v>
      </c>
      <c r="AB133">
        <f t="shared" si="34"/>
        <v>17.867596213795842</v>
      </c>
      <c r="AC133">
        <f t="shared" si="27"/>
        <v>-6.9675818465929455E-3</v>
      </c>
      <c r="AE133">
        <f t="shared" si="28"/>
        <v>107.61995936849812</v>
      </c>
      <c r="AF133">
        <f t="shared" si="29"/>
        <v>-2.2821387630334034E-4</v>
      </c>
      <c r="AH133">
        <v>-8.4342551929469001E-4</v>
      </c>
      <c r="AI133">
        <v>7.8428484566010429E-3</v>
      </c>
      <c r="AJ133">
        <v>-4.9175229847677557E-3</v>
      </c>
      <c r="AK133">
        <v>-5.7087069823129567E-3</v>
      </c>
      <c r="AL133">
        <v>-1.1445350847777831E-2</v>
      </c>
    </row>
    <row r="134" spans="1:38" x14ac:dyDescent="0.3">
      <c r="A134" s="1">
        <v>45909</v>
      </c>
      <c r="B134">
        <v>943.7</v>
      </c>
      <c r="C134">
        <f t="shared" ref="C134:C197" si="36">(B134-B133)/B133</f>
        <v>6.9355527102005973E-3</v>
      </c>
      <c r="D134">
        <f t="shared" si="30"/>
        <v>19.7633507853403</v>
      </c>
      <c r="E134">
        <f t="shared" ref="E134:E197" si="37">C134-$C$252</f>
        <v>5.8768766931390822E-3</v>
      </c>
      <c r="G134" s="1">
        <v>45909</v>
      </c>
      <c r="H134">
        <v>384.65</v>
      </c>
      <c r="I134">
        <f t="shared" ref="I134:I197" si="38">(H134-H133)/H133</f>
        <v>3.6529680365296208E-3</v>
      </c>
      <c r="J134">
        <f t="shared" si="31"/>
        <v>29.131663268278476</v>
      </c>
      <c r="K134">
        <f t="shared" ref="K134:K197" si="39">I134-$I$252</f>
        <v>3.1319900425295431E-3</v>
      </c>
      <c r="M134" s="1">
        <v>45909</v>
      </c>
      <c r="N134" s="2">
        <v>12572</v>
      </c>
      <c r="O134">
        <f t="shared" ref="O134:O197" si="40">(N134-N133)/N133</f>
        <v>-7.2646873025900187E-3</v>
      </c>
      <c r="P134">
        <f t="shared" si="32"/>
        <v>16.846659296588236</v>
      </c>
      <c r="Q134">
        <f t="shared" ref="Q134:Q197" si="41">O134-$O$252</f>
        <v>-8.2299535487600356E-3</v>
      </c>
      <c r="S134" s="1">
        <v>45909</v>
      </c>
      <c r="T134">
        <v>808.85</v>
      </c>
      <c r="U134">
        <f t="shared" ref="U134:U197" si="42">(T134-T133)/T133</f>
        <v>6.1819980217690665E-5</v>
      </c>
      <c r="V134">
        <f t="shared" si="33"/>
        <v>24.131055547663006</v>
      </c>
      <c r="W134">
        <f t="shared" ref="W134:W197" si="43">U134-$U$252</f>
        <v>-2.187534395226036E-3</v>
      </c>
      <c r="Y134" s="1">
        <v>45909</v>
      </c>
      <c r="Z134" s="2">
        <v>1504.3</v>
      </c>
      <c r="AA134" s="4">
        <f t="shared" ref="AA134:AA197" si="44">(Z134-Z133)/Z133</f>
        <v>4.9829018075231948E-2</v>
      </c>
      <c r="AB134">
        <f t="shared" si="34"/>
        <v>18.757920988494021</v>
      </c>
      <c r="AC134">
        <f t="shared" ref="AC134:AC197" si="45">AA134-$AA$252</f>
        <v>5.096056401487728E-2</v>
      </c>
      <c r="AE134">
        <f t="shared" ref="AE134:AE197" si="46">AB134+V134+P134+J134+D134</f>
        <v>108.63064988636404</v>
      </c>
      <c r="AF134">
        <f t="shared" ref="AF134:AF197" si="47">AE134/AE133-1</f>
        <v>9.3912925055588126E-3</v>
      </c>
      <c r="AH134">
        <v>7.3880878501575327E-3</v>
      </c>
      <c r="AI134">
        <v>-7.1306202957108385E-3</v>
      </c>
      <c r="AJ134">
        <v>4.0343369599247381E-3</v>
      </c>
      <c r="AK134">
        <v>4.7814376489836545E-4</v>
      </c>
      <c r="AL134">
        <v>-6.9675818465929455E-3</v>
      </c>
    </row>
    <row r="135" spans="1:38" x14ac:dyDescent="0.3">
      <c r="A135" s="1">
        <v>45910</v>
      </c>
      <c r="B135">
        <v>963.35</v>
      </c>
      <c r="C135">
        <f t="shared" si="36"/>
        <v>2.0822295220938834E-2</v>
      </c>
      <c r="D135">
        <f t="shared" ref="D135:D198" si="48">D134*(1+C135)</f>
        <v>20.174869109947632</v>
      </c>
      <c r="E135">
        <f t="shared" si="37"/>
        <v>1.9763619203877321E-2</v>
      </c>
      <c r="G135" s="1">
        <v>45910</v>
      </c>
      <c r="H135">
        <v>386.5</v>
      </c>
      <c r="I135">
        <f t="shared" si="38"/>
        <v>4.8095671389575536E-3</v>
      </c>
      <c r="J135">
        <f t="shared" ref="J135:J198" si="49">J134*(1+I135)</f>
        <v>29.271773958636768</v>
      </c>
      <c r="K135">
        <f t="shared" si="39"/>
        <v>4.2885891449574755E-3</v>
      </c>
      <c r="M135" s="1">
        <v>45910</v>
      </c>
      <c r="N135" s="2">
        <v>12478</v>
      </c>
      <c r="O135">
        <f t="shared" si="40"/>
        <v>-7.4769328666878781E-3</v>
      </c>
      <c r="P135">
        <f t="shared" ref="P135:P198" si="50">P134*(1+O135)</f>
        <v>16.720697955999682</v>
      </c>
      <c r="Q135">
        <f t="shared" si="41"/>
        <v>-8.4421991128578941E-3</v>
      </c>
      <c r="S135" s="1">
        <v>45910</v>
      </c>
      <c r="T135">
        <v>818.2</v>
      </c>
      <c r="U135">
        <f t="shared" si="42"/>
        <v>1.1559621685108516E-2</v>
      </c>
      <c r="V135">
        <f t="shared" ref="V135:V198" si="51">V134*(1+U135)</f>
        <v>24.410001420656332</v>
      </c>
      <c r="W135">
        <f t="shared" si="43"/>
        <v>9.3102673096647891E-3</v>
      </c>
      <c r="Y135" s="1">
        <v>45910</v>
      </c>
      <c r="Z135" s="2">
        <v>1532.6</v>
      </c>
      <c r="AA135" s="4">
        <f t="shared" si="44"/>
        <v>1.8812736821112782E-2</v>
      </c>
      <c r="AB135">
        <f t="shared" ref="AB135:AB198" si="52">AB134*(1+AA135)</f>
        <v>19.11080881936179</v>
      </c>
      <c r="AC135">
        <f t="shared" si="45"/>
        <v>1.9944282760758117E-2</v>
      </c>
      <c r="AE135">
        <f t="shared" si="46"/>
        <v>109.68815126460221</v>
      </c>
      <c r="AF135">
        <f t="shared" si="47"/>
        <v>9.7348343155858608E-3</v>
      </c>
      <c r="AH135">
        <v>5.8768766931390822E-3</v>
      </c>
      <c r="AI135">
        <v>3.1319900425295431E-3</v>
      </c>
      <c r="AJ135">
        <v>-8.2299535487600356E-3</v>
      </c>
      <c r="AK135">
        <v>-2.187534395226036E-3</v>
      </c>
      <c r="AL135">
        <v>5.096056401487728E-2</v>
      </c>
    </row>
    <row r="136" spans="1:38" x14ac:dyDescent="0.3">
      <c r="A136" s="1">
        <v>45911</v>
      </c>
      <c r="B136">
        <v>976.35</v>
      </c>
      <c r="C136">
        <f t="shared" si="36"/>
        <v>1.3494576218404525E-2</v>
      </c>
      <c r="D136">
        <f t="shared" si="48"/>
        <v>20.447120418848154</v>
      </c>
      <c r="E136">
        <f t="shared" si="37"/>
        <v>1.243590020134301E-2</v>
      </c>
      <c r="G136" s="1">
        <v>45911</v>
      </c>
      <c r="H136">
        <v>388.1</v>
      </c>
      <c r="I136">
        <f t="shared" si="38"/>
        <v>4.1397153945666827E-3</v>
      </c>
      <c r="J136">
        <f t="shared" si="49"/>
        <v>29.392950771919608</v>
      </c>
      <c r="K136">
        <f t="shared" si="39"/>
        <v>3.618737400566605E-3</v>
      </c>
      <c r="M136" s="1">
        <v>45911</v>
      </c>
      <c r="N136" s="2">
        <v>12392</v>
      </c>
      <c r="O136">
        <f t="shared" si="40"/>
        <v>-6.8921301490623499E-3</v>
      </c>
      <c r="P136">
        <f t="shared" si="50"/>
        <v>16.605456729503771</v>
      </c>
      <c r="Q136">
        <f t="shared" si="41"/>
        <v>-7.8573963952323668E-3</v>
      </c>
      <c r="S136" s="1">
        <v>45911</v>
      </c>
      <c r="T136">
        <v>823.65</v>
      </c>
      <c r="U136">
        <f t="shared" si="42"/>
        <v>6.6609630897090343E-3</v>
      </c>
      <c r="V136">
        <f t="shared" si="51"/>
        <v>24.572595539139069</v>
      </c>
      <c r="W136">
        <f t="shared" si="43"/>
        <v>4.4116087142653075E-3</v>
      </c>
      <c r="Y136" s="1">
        <v>45911</v>
      </c>
      <c r="Z136" s="2">
        <v>1509.7</v>
      </c>
      <c r="AA136" s="4">
        <f t="shared" si="44"/>
        <v>-1.4941928748531818E-2</v>
      </c>
      <c r="AB136">
        <f t="shared" si="52"/>
        <v>18.825256475656072</v>
      </c>
      <c r="AC136">
        <f t="shared" si="45"/>
        <v>-1.3810382808886483E-2</v>
      </c>
      <c r="AE136">
        <f t="shared" si="46"/>
        <v>109.84337993506668</v>
      </c>
      <c r="AF136">
        <f t="shared" si="47"/>
        <v>1.4151817555025925E-3</v>
      </c>
      <c r="AH136">
        <v>1.9763619203877321E-2</v>
      </c>
      <c r="AI136">
        <v>4.2885891449574755E-3</v>
      </c>
      <c r="AJ136">
        <v>-8.4421991128578941E-3</v>
      </c>
      <c r="AK136">
        <v>9.3102673096647891E-3</v>
      </c>
      <c r="AL136">
        <v>1.9944282760758117E-2</v>
      </c>
    </row>
    <row r="137" spans="1:38" x14ac:dyDescent="0.3">
      <c r="A137" s="1">
        <v>45912</v>
      </c>
      <c r="B137">
        <v>981.7</v>
      </c>
      <c r="C137">
        <f t="shared" si="36"/>
        <v>5.4795923592974062E-3</v>
      </c>
      <c r="D137">
        <f t="shared" si="48"/>
        <v>20.559162303664909</v>
      </c>
      <c r="E137">
        <f t="shared" si="37"/>
        <v>4.4209163422358911E-3</v>
      </c>
      <c r="G137" s="1">
        <v>45912</v>
      </c>
      <c r="H137">
        <v>386.25</v>
      </c>
      <c r="I137">
        <f t="shared" si="38"/>
        <v>-4.7668126771451243E-3</v>
      </c>
      <c r="J137">
        <f t="shared" si="49"/>
        <v>29.25284008156132</v>
      </c>
      <c r="K137">
        <f t="shared" si="39"/>
        <v>-5.2877906711452025E-3</v>
      </c>
      <c r="M137" s="1">
        <v>45912</v>
      </c>
      <c r="N137" s="2">
        <v>12370</v>
      </c>
      <c r="O137">
        <f t="shared" si="40"/>
        <v>-1.7753389283408651E-3</v>
      </c>
      <c r="P137">
        <f t="shared" si="50"/>
        <v>16.575976415749004</v>
      </c>
      <c r="Q137">
        <f t="shared" si="41"/>
        <v>-2.7406051745108816E-3</v>
      </c>
      <c r="S137" s="1">
        <v>45912</v>
      </c>
      <c r="T137">
        <v>823.55</v>
      </c>
      <c r="U137">
        <f t="shared" si="42"/>
        <v>-1.214107934195626E-4</v>
      </c>
      <c r="V137">
        <f t="shared" si="51"/>
        <v>24.569612160818284</v>
      </c>
      <c r="W137">
        <f t="shared" si="43"/>
        <v>-2.3707651688632892E-3</v>
      </c>
      <c r="Y137" s="1">
        <v>45912</v>
      </c>
      <c r="Z137" s="2">
        <v>1525.6</v>
      </c>
      <c r="AA137" s="4">
        <f t="shared" si="44"/>
        <v>1.0531893753725815E-2</v>
      </c>
      <c r="AB137">
        <f t="shared" si="52"/>
        <v>19.023522076744321</v>
      </c>
      <c r="AC137">
        <f t="shared" si="45"/>
        <v>1.166343969337115E-2</v>
      </c>
      <c r="AE137">
        <f t="shared" si="46"/>
        <v>109.98111303853784</v>
      </c>
      <c r="AF137">
        <f t="shared" si="47"/>
        <v>1.2539044551669321E-3</v>
      </c>
      <c r="AH137">
        <v>1.243590020134301E-2</v>
      </c>
      <c r="AI137">
        <v>3.618737400566605E-3</v>
      </c>
      <c r="AJ137">
        <v>-7.8573963952323668E-3</v>
      </c>
      <c r="AK137">
        <v>4.4116087142653075E-3</v>
      </c>
      <c r="AL137">
        <v>-1.3810382808886483E-2</v>
      </c>
    </row>
    <row r="138" spans="1:38" x14ac:dyDescent="0.3">
      <c r="A138" s="1">
        <v>45915</v>
      </c>
      <c r="B138">
        <v>986.7</v>
      </c>
      <c r="C138">
        <f t="shared" si="36"/>
        <v>5.0932056636446973E-3</v>
      </c>
      <c r="D138">
        <f t="shared" si="48"/>
        <v>20.663874345549729</v>
      </c>
      <c r="E138">
        <f t="shared" si="37"/>
        <v>4.0345296465831822E-3</v>
      </c>
      <c r="G138" s="1">
        <v>45915</v>
      </c>
      <c r="H138">
        <v>388</v>
      </c>
      <c r="I138">
        <f t="shared" si="38"/>
        <v>4.5307443365695792E-3</v>
      </c>
      <c r="J138">
        <f t="shared" si="49"/>
        <v>29.385377221089431</v>
      </c>
      <c r="K138">
        <f t="shared" si="39"/>
        <v>4.009766342569502E-3</v>
      </c>
      <c r="M138" s="1">
        <v>45915</v>
      </c>
      <c r="N138" s="2">
        <v>12435</v>
      </c>
      <c r="O138">
        <f t="shared" si="40"/>
        <v>5.2546483427647539E-3</v>
      </c>
      <c r="P138">
        <f t="shared" si="50"/>
        <v>16.663077342751727</v>
      </c>
      <c r="Q138">
        <f t="shared" si="41"/>
        <v>4.2893820965947379E-3</v>
      </c>
      <c r="S138" s="1">
        <v>45915</v>
      </c>
      <c r="T138">
        <v>824.75</v>
      </c>
      <c r="U138">
        <f t="shared" si="42"/>
        <v>1.4571064294821754E-3</v>
      </c>
      <c r="V138">
        <f t="shared" si="51"/>
        <v>24.605412700667696</v>
      </c>
      <c r="W138">
        <f t="shared" si="43"/>
        <v>-7.9224794596155132E-4</v>
      </c>
      <c r="Y138" s="1">
        <v>45915</v>
      </c>
      <c r="Z138" s="2">
        <v>1508.4</v>
      </c>
      <c r="AA138" s="4">
        <f t="shared" si="44"/>
        <v>-1.1274252753015088E-2</v>
      </c>
      <c r="AB138">
        <f t="shared" si="52"/>
        <v>18.809046080598542</v>
      </c>
      <c r="AC138">
        <f t="shared" si="45"/>
        <v>-1.0142706813369753E-2</v>
      </c>
      <c r="AE138">
        <f t="shared" si="46"/>
        <v>110.12678769065712</v>
      </c>
      <c r="AF138">
        <f t="shared" si="47"/>
        <v>1.3245424427394958E-3</v>
      </c>
      <c r="AH138">
        <v>4.4209163422358911E-3</v>
      </c>
      <c r="AI138">
        <v>-5.2877906711452025E-3</v>
      </c>
      <c r="AJ138">
        <v>-2.7406051745108816E-3</v>
      </c>
      <c r="AK138">
        <v>-2.3707651688632892E-3</v>
      </c>
      <c r="AL138">
        <v>1.166343969337115E-2</v>
      </c>
    </row>
    <row r="139" spans="1:38" x14ac:dyDescent="0.3">
      <c r="A139" s="1">
        <v>45916</v>
      </c>
      <c r="B139">
        <v>987.85</v>
      </c>
      <c r="C139">
        <f t="shared" si="36"/>
        <v>1.1655011655011423E-3</v>
      </c>
      <c r="D139">
        <f t="shared" si="48"/>
        <v>20.687958115183239</v>
      </c>
      <c r="E139">
        <f t="shared" si="37"/>
        <v>1.0682514843962719E-4</v>
      </c>
      <c r="G139" s="1">
        <v>45916</v>
      </c>
      <c r="H139">
        <v>396.05</v>
      </c>
      <c r="I139">
        <f t="shared" si="38"/>
        <v>2.0747422680412402E-2</v>
      </c>
      <c r="J139">
        <f t="shared" si="49"/>
        <v>29.995048062918734</v>
      </c>
      <c r="K139">
        <f t="shared" si="39"/>
        <v>2.0226444686412322E-2</v>
      </c>
      <c r="M139" s="1">
        <v>45916</v>
      </c>
      <c r="N139" s="2">
        <v>12578</v>
      </c>
      <c r="O139">
        <f t="shared" si="40"/>
        <v>1.1499798954563732E-2</v>
      </c>
      <c r="P139">
        <f t="shared" si="50"/>
        <v>16.854699382157719</v>
      </c>
      <c r="Q139">
        <f t="shared" si="41"/>
        <v>1.0534532708393716E-2</v>
      </c>
      <c r="S139" s="1">
        <v>45916</v>
      </c>
      <c r="T139">
        <v>831.55</v>
      </c>
      <c r="U139">
        <f t="shared" si="42"/>
        <v>8.2449227038495967E-3</v>
      </c>
      <c r="V139">
        <f t="shared" si="51"/>
        <v>24.808282426481021</v>
      </c>
      <c r="W139">
        <f t="shared" si="43"/>
        <v>5.9955683284058699E-3</v>
      </c>
      <c r="Y139" s="1">
        <v>45916</v>
      </c>
      <c r="Z139" s="2">
        <v>1505</v>
      </c>
      <c r="AA139" s="4">
        <f t="shared" si="44"/>
        <v>-2.2540440201538653E-3</v>
      </c>
      <c r="AB139">
        <f t="shared" si="52"/>
        <v>18.766649662755771</v>
      </c>
      <c r="AC139">
        <f t="shared" si="45"/>
        <v>-1.1224980805085308E-3</v>
      </c>
      <c r="AE139">
        <f t="shared" si="46"/>
        <v>111.11263764949648</v>
      </c>
      <c r="AF139">
        <f t="shared" si="47"/>
        <v>8.951954193094025E-3</v>
      </c>
      <c r="AH139">
        <v>4.0345296465831822E-3</v>
      </c>
      <c r="AI139">
        <v>4.009766342569502E-3</v>
      </c>
      <c r="AJ139">
        <v>4.2893820965947379E-3</v>
      </c>
      <c r="AK139">
        <v>-7.9224794596155132E-4</v>
      </c>
      <c r="AL139">
        <v>-1.0142706813369753E-2</v>
      </c>
    </row>
    <row r="140" spans="1:38" x14ac:dyDescent="0.3">
      <c r="A140" s="1">
        <v>45917</v>
      </c>
      <c r="B140">
        <v>979.45</v>
      </c>
      <c r="C140">
        <f t="shared" si="36"/>
        <v>-8.5033152806599961E-3</v>
      </c>
      <c r="D140">
        <f t="shared" si="48"/>
        <v>20.51204188481675</v>
      </c>
      <c r="E140">
        <f t="shared" si="37"/>
        <v>-9.5619912977215112E-3</v>
      </c>
      <c r="G140" s="1">
        <v>45917</v>
      </c>
      <c r="H140">
        <v>394.65</v>
      </c>
      <c r="I140">
        <f t="shared" si="38"/>
        <v>-3.534907208685858E-3</v>
      </c>
      <c r="J140">
        <f t="shared" si="49"/>
        <v>29.889018351296244</v>
      </c>
      <c r="K140">
        <f t="shared" si="39"/>
        <v>-4.0558852026859361E-3</v>
      </c>
      <c r="M140" s="1">
        <v>45917</v>
      </c>
      <c r="N140" s="2">
        <v>12721</v>
      </c>
      <c r="O140">
        <f t="shared" si="40"/>
        <v>1.1369057083797107E-2</v>
      </c>
      <c r="P140">
        <f t="shared" si="50"/>
        <v>17.046321421563711</v>
      </c>
      <c r="Q140">
        <f t="shared" si="41"/>
        <v>1.0403790837627091E-2</v>
      </c>
      <c r="S140" s="1">
        <v>45917</v>
      </c>
      <c r="T140">
        <v>857.15</v>
      </c>
      <c r="U140">
        <f t="shared" si="42"/>
        <v>3.0785881787024259E-2</v>
      </c>
      <c r="V140">
        <f t="shared" si="51"/>
        <v>25.57202727660178</v>
      </c>
      <c r="W140">
        <f t="shared" si="43"/>
        <v>2.8536527411580533E-2</v>
      </c>
      <c r="Y140" s="1">
        <v>45917</v>
      </c>
      <c r="Z140" s="2">
        <v>1522.4</v>
      </c>
      <c r="AA140" s="4">
        <f t="shared" si="44"/>
        <v>1.1561461794019994E-2</v>
      </c>
      <c r="AB140">
        <f t="shared" si="52"/>
        <v>18.983619565833482</v>
      </c>
      <c r="AC140">
        <f t="shared" si="45"/>
        <v>1.2693007733665329E-2</v>
      </c>
      <c r="AE140">
        <f t="shared" si="46"/>
        <v>112.00302850011197</v>
      </c>
      <c r="AF140">
        <f t="shared" si="47"/>
        <v>8.0134075605713395E-3</v>
      </c>
      <c r="AH140">
        <v>1.0682514843962719E-4</v>
      </c>
      <c r="AI140">
        <v>2.0226444686412322E-2</v>
      </c>
      <c r="AJ140">
        <v>1.0534532708393716E-2</v>
      </c>
      <c r="AK140">
        <v>5.9955683284058699E-3</v>
      </c>
      <c r="AL140">
        <v>-1.1224980805085308E-3</v>
      </c>
    </row>
    <row r="141" spans="1:38" x14ac:dyDescent="0.3">
      <c r="A141" s="1">
        <v>45918</v>
      </c>
      <c r="B141">
        <v>978.9</v>
      </c>
      <c r="C141">
        <f t="shared" si="36"/>
        <v>-5.6153963959371914E-4</v>
      </c>
      <c r="D141">
        <f t="shared" si="48"/>
        <v>20.50052356020942</v>
      </c>
      <c r="E141">
        <f t="shared" si="37"/>
        <v>-1.6202156566552342E-3</v>
      </c>
      <c r="G141" s="1">
        <v>45918</v>
      </c>
      <c r="H141">
        <v>393.1</v>
      </c>
      <c r="I141">
        <f t="shared" si="38"/>
        <v>-3.927530723425705E-3</v>
      </c>
      <c r="J141">
        <f t="shared" si="49"/>
        <v>29.771628313428494</v>
      </c>
      <c r="K141">
        <f t="shared" si="39"/>
        <v>-4.4485087174257823E-3</v>
      </c>
      <c r="M141" s="1">
        <v>45918</v>
      </c>
      <c r="N141" s="2">
        <v>12626</v>
      </c>
      <c r="O141">
        <f t="shared" si="40"/>
        <v>-7.4679663548463168E-3</v>
      </c>
      <c r="P141">
        <f t="shared" si="50"/>
        <v>16.919020066713575</v>
      </c>
      <c r="Q141">
        <f t="shared" si="41"/>
        <v>-8.4332326010163328E-3</v>
      </c>
      <c r="S141" s="1">
        <v>45918</v>
      </c>
      <c r="T141">
        <v>854.35</v>
      </c>
      <c r="U141">
        <f t="shared" si="42"/>
        <v>-3.2666394446712412E-3</v>
      </c>
      <c r="V141">
        <f t="shared" si="51"/>
        <v>25.488492683619825</v>
      </c>
      <c r="W141">
        <f t="shared" si="43"/>
        <v>-5.5159938201149675E-3</v>
      </c>
      <c r="Y141" s="1">
        <v>45918</v>
      </c>
      <c r="Z141" s="2">
        <v>1540.6</v>
      </c>
      <c r="AA141" s="4">
        <f t="shared" si="44"/>
        <v>1.1954808197582644E-2</v>
      </c>
      <c r="AB141">
        <f t="shared" si="52"/>
        <v>19.210565096638899</v>
      </c>
      <c r="AC141">
        <f t="shared" si="45"/>
        <v>1.3086354137227979E-2</v>
      </c>
      <c r="AE141">
        <f t="shared" si="46"/>
        <v>111.89022972061021</v>
      </c>
      <c r="AF141">
        <f t="shared" si="47"/>
        <v>-1.0071047275445055E-3</v>
      </c>
      <c r="AH141">
        <v>-9.5619912977215112E-3</v>
      </c>
      <c r="AI141">
        <v>-4.0558852026859361E-3</v>
      </c>
      <c r="AJ141">
        <v>1.0403790837627091E-2</v>
      </c>
      <c r="AK141">
        <v>2.8536527411580533E-2</v>
      </c>
      <c r="AL141">
        <v>1.2693007733665329E-2</v>
      </c>
    </row>
    <row r="142" spans="1:38" x14ac:dyDescent="0.3">
      <c r="A142" s="1">
        <v>45919</v>
      </c>
      <c r="B142" s="2">
        <v>1030.7</v>
      </c>
      <c r="C142">
        <f t="shared" si="36"/>
        <v>5.2916538972315935E-2</v>
      </c>
      <c r="D142">
        <f t="shared" si="48"/>
        <v>21.585340314136122</v>
      </c>
      <c r="E142">
        <f t="shared" si="37"/>
        <v>5.1857862955254422E-2</v>
      </c>
      <c r="G142" s="1">
        <v>45919</v>
      </c>
      <c r="H142">
        <v>396.3</v>
      </c>
      <c r="I142">
        <f t="shared" si="38"/>
        <v>8.1404222844059741E-3</v>
      </c>
      <c r="J142">
        <f t="shared" si="49"/>
        <v>30.013981939994178</v>
      </c>
      <c r="K142">
        <f t="shared" si="39"/>
        <v>7.6194442904058968E-3</v>
      </c>
      <c r="M142" s="1">
        <v>45919</v>
      </c>
      <c r="N142" s="2">
        <v>12508</v>
      </c>
      <c r="O142">
        <f t="shared" si="40"/>
        <v>-9.3457943925233638E-3</v>
      </c>
      <c r="P142">
        <f t="shared" si="50"/>
        <v>16.760898383847092</v>
      </c>
      <c r="Q142">
        <f t="shared" si="41"/>
        <v>-1.031106063869338E-2</v>
      </c>
      <c r="S142" s="1">
        <v>45919</v>
      </c>
      <c r="T142">
        <v>862.35</v>
      </c>
      <c r="U142">
        <f t="shared" si="42"/>
        <v>9.3638438579036684E-3</v>
      </c>
      <c r="V142">
        <f t="shared" si="51"/>
        <v>25.727162949282558</v>
      </c>
      <c r="W142">
        <f t="shared" si="43"/>
        <v>7.1144894824599417E-3</v>
      </c>
      <c r="Y142" s="1">
        <v>45919</v>
      </c>
      <c r="Z142" s="2">
        <v>1540.2</v>
      </c>
      <c r="AA142" s="4">
        <f t="shared" si="44"/>
        <v>-2.5963910164861974E-4</v>
      </c>
      <c r="AB142">
        <f t="shared" si="52"/>
        <v>19.205577282775046</v>
      </c>
      <c r="AC142">
        <f t="shared" si="45"/>
        <v>8.7190683799671475E-4</v>
      </c>
      <c r="AE142">
        <f t="shared" si="46"/>
        <v>113.29296087003499</v>
      </c>
      <c r="AF142">
        <f t="shared" si="47"/>
        <v>1.2536672352245537E-2</v>
      </c>
      <c r="AH142">
        <v>-1.6202156566552342E-3</v>
      </c>
      <c r="AI142">
        <v>-4.4485087174257823E-3</v>
      </c>
      <c r="AJ142">
        <v>-8.4332326010163328E-3</v>
      </c>
      <c r="AK142">
        <v>-5.5159938201149675E-3</v>
      </c>
      <c r="AL142">
        <v>1.3086354137227979E-2</v>
      </c>
    </row>
    <row r="143" spans="1:38" x14ac:dyDescent="0.3">
      <c r="A143" s="1">
        <v>45922</v>
      </c>
      <c r="B143" s="2">
        <v>1152.1500000000001</v>
      </c>
      <c r="C143">
        <f t="shared" si="36"/>
        <v>0.11783254099155917</v>
      </c>
      <c r="D143">
        <f t="shared" si="48"/>
        <v>24.128795811518323</v>
      </c>
      <c r="E143">
        <f t="shared" si="37"/>
        <v>0.11677386497449765</v>
      </c>
      <c r="G143" s="1">
        <v>45922</v>
      </c>
      <c r="H143">
        <v>395.3</v>
      </c>
      <c r="I143">
        <f t="shared" si="38"/>
        <v>-2.5233409033560434E-3</v>
      </c>
      <c r="J143">
        <f t="shared" si="49"/>
        <v>29.938246431692402</v>
      </c>
      <c r="K143">
        <f t="shared" si="39"/>
        <v>-3.0443188973561211E-3</v>
      </c>
      <c r="M143" s="1">
        <v>45922</v>
      </c>
      <c r="N143" s="2">
        <v>12650</v>
      </c>
      <c r="O143">
        <f t="shared" si="40"/>
        <v>1.135273425007995E-2</v>
      </c>
      <c r="P143">
        <f t="shared" si="50"/>
        <v>16.951180408991501</v>
      </c>
      <c r="Q143">
        <f t="shared" si="41"/>
        <v>1.0387468003909934E-2</v>
      </c>
      <c r="S143" s="1">
        <v>45922</v>
      </c>
      <c r="T143">
        <v>855.25</v>
      </c>
      <c r="U143">
        <f t="shared" si="42"/>
        <v>-8.2333159390039108E-3</v>
      </c>
      <c r="V143">
        <f t="shared" si="51"/>
        <v>25.515343088506878</v>
      </c>
      <c r="W143">
        <f t="shared" si="43"/>
        <v>-1.0482670314447638E-2</v>
      </c>
      <c r="Y143" s="1">
        <v>45922</v>
      </c>
      <c r="Z143" s="2">
        <v>1499.5</v>
      </c>
      <c r="AA143" s="4">
        <f t="shared" si="44"/>
        <v>-2.6425139592260775E-2</v>
      </c>
      <c r="AB143">
        <f t="shared" si="52"/>
        <v>18.698067222127762</v>
      </c>
      <c r="AC143">
        <f t="shared" si="45"/>
        <v>-2.529359365261544E-2</v>
      </c>
      <c r="AE143">
        <f t="shared" si="46"/>
        <v>115.23163296283687</v>
      </c>
      <c r="AF143">
        <f t="shared" si="47"/>
        <v>1.7112026006857128E-2</v>
      </c>
      <c r="AH143">
        <v>5.1857862955254422E-2</v>
      </c>
      <c r="AI143">
        <v>7.6194442904058968E-3</v>
      </c>
      <c r="AJ143">
        <v>-1.031106063869338E-2</v>
      </c>
      <c r="AK143">
        <v>7.1144894824599417E-3</v>
      </c>
      <c r="AL143">
        <v>8.7190683799671475E-4</v>
      </c>
    </row>
    <row r="144" spans="1:38" x14ac:dyDescent="0.3">
      <c r="A144" s="1">
        <v>45923</v>
      </c>
      <c r="B144" s="2">
        <v>1131.45</v>
      </c>
      <c r="C144">
        <f t="shared" si="36"/>
        <v>-1.7966410623616754E-2</v>
      </c>
      <c r="D144">
        <f t="shared" si="48"/>
        <v>23.695287958115181</v>
      </c>
      <c r="E144">
        <f t="shared" si="37"/>
        <v>-1.9025086640678271E-2</v>
      </c>
      <c r="G144" s="1">
        <v>45923</v>
      </c>
      <c r="H144">
        <v>395.5</v>
      </c>
      <c r="I144">
        <f t="shared" si="38"/>
        <v>5.05944852011102E-4</v>
      </c>
      <c r="J144">
        <f t="shared" si="49"/>
        <v>29.953393533352756</v>
      </c>
      <c r="K144">
        <f t="shared" si="39"/>
        <v>-1.5033141988975715E-5</v>
      </c>
      <c r="M144" s="1">
        <v>45923</v>
      </c>
      <c r="N144" s="2">
        <v>12401</v>
      </c>
      <c r="O144">
        <f t="shared" si="40"/>
        <v>-1.9683794466403164E-2</v>
      </c>
      <c r="P144">
        <f t="shared" si="50"/>
        <v>16.617516857857993</v>
      </c>
      <c r="Q144">
        <f t="shared" si="41"/>
        <v>-2.0649060712573181E-2</v>
      </c>
      <c r="S144" s="1">
        <v>45923</v>
      </c>
      <c r="T144">
        <v>870.6</v>
      </c>
      <c r="U144">
        <f t="shared" si="42"/>
        <v>1.7947968430283571E-2</v>
      </c>
      <c r="V144">
        <f t="shared" si="51"/>
        <v>25.973291660747257</v>
      </c>
      <c r="W144">
        <f t="shared" si="43"/>
        <v>1.5698614054839844E-2</v>
      </c>
      <c r="Y144" s="1">
        <v>45923</v>
      </c>
      <c r="Z144" s="2">
        <v>1497.5</v>
      </c>
      <c r="AA144" s="4">
        <f t="shared" si="44"/>
        <v>-1.333777925975325E-3</v>
      </c>
      <c r="AB144">
        <f t="shared" si="52"/>
        <v>18.673128152808484</v>
      </c>
      <c r="AC144">
        <f t="shared" si="45"/>
        <v>-2.0223198632999054E-4</v>
      </c>
      <c r="AE144">
        <f t="shared" si="46"/>
        <v>114.91261816288167</v>
      </c>
      <c r="AF144">
        <f t="shared" si="47"/>
        <v>-2.768465496432615E-3</v>
      </c>
      <c r="AH144">
        <v>0.11677386497449765</v>
      </c>
      <c r="AI144">
        <v>-3.0443188973561211E-3</v>
      </c>
      <c r="AJ144">
        <v>1.0387468003909934E-2</v>
      </c>
      <c r="AK144">
        <v>-1.0482670314447638E-2</v>
      </c>
      <c r="AL144">
        <v>-2.529359365261544E-2</v>
      </c>
    </row>
    <row r="145" spans="1:38" x14ac:dyDescent="0.3">
      <c r="A145" s="1">
        <v>45924</v>
      </c>
      <c r="B145" s="2">
        <v>1095.25</v>
      </c>
      <c r="C145">
        <f t="shared" si="36"/>
        <v>-3.1994343541473368E-2</v>
      </c>
      <c r="D145">
        <f t="shared" si="48"/>
        <v>22.937172774869108</v>
      </c>
      <c r="E145">
        <f t="shared" si="37"/>
        <v>-3.3053019558534881E-2</v>
      </c>
      <c r="G145" s="1">
        <v>45924</v>
      </c>
      <c r="H145">
        <v>390.3</v>
      </c>
      <c r="I145">
        <f t="shared" si="38"/>
        <v>-1.3147914032869756E-2</v>
      </c>
      <c r="J145">
        <f t="shared" si="49"/>
        <v>29.559568890183517</v>
      </c>
      <c r="K145">
        <f t="shared" si="39"/>
        <v>-1.3668892026869833E-2</v>
      </c>
      <c r="M145" s="1">
        <v>45924</v>
      </c>
      <c r="N145" s="2">
        <v>12214</v>
      </c>
      <c r="O145">
        <f t="shared" si="40"/>
        <v>-1.5079429078300137E-2</v>
      </c>
      <c r="P145">
        <f t="shared" si="50"/>
        <v>16.366934190942466</v>
      </c>
      <c r="Q145">
        <f t="shared" si="41"/>
        <v>-1.6044695324470153E-2</v>
      </c>
      <c r="S145" s="1">
        <v>45924</v>
      </c>
      <c r="T145">
        <v>866.2</v>
      </c>
      <c r="U145">
        <f t="shared" si="42"/>
        <v>-5.0539857569492043E-3</v>
      </c>
      <c r="V145">
        <f t="shared" si="51"/>
        <v>25.842023014632755</v>
      </c>
      <c r="W145">
        <f t="shared" si="43"/>
        <v>-7.303340132392931E-3</v>
      </c>
      <c r="Y145" s="1">
        <v>45924</v>
      </c>
      <c r="Z145" s="2">
        <v>1494.6</v>
      </c>
      <c r="AA145" s="4">
        <f t="shared" si="44"/>
        <v>-1.9365609348915465E-3</v>
      </c>
      <c r="AB145">
        <f t="shared" si="52"/>
        <v>18.636966502295532</v>
      </c>
      <c r="AC145">
        <f t="shared" si="45"/>
        <v>-8.05014995246212E-4</v>
      </c>
      <c r="AE145">
        <f t="shared" si="46"/>
        <v>113.34266537292338</v>
      </c>
      <c r="AF145">
        <f t="shared" si="47"/>
        <v>-1.3662144462960324E-2</v>
      </c>
      <c r="AH145">
        <v>-1.9025086640678271E-2</v>
      </c>
      <c r="AI145">
        <v>-1.5033141988975715E-5</v>
      </c>
      <c r="AJ145">
        <v>-2.0649060712573181E-2</v>
      </c>
      <c r="AK145">
        <v>1.5698614054839844E-2</v>
      </c>
      <c r="AL145">
        <v>-2.0223198632999054E-4</v>
      </c>
    </row>
    <row r="146" spans="1:38" x14ac:dyDescent="0.3">
      <c r="A146" s="1">
        <v>45925</v>
      </c>
      <c r="B146" s="2">
        <v>1079.55</v>
      </c>
      <c r="C146">
        <f t="shared" si="36"/>
        <v>-1.433462679753485E-2</v>
      </c>
      <c r="D146">
        <f t="shared" si="48"/>
        <v>22.608376963350782</v>
      </c>
      <c r="E146">
        <f t="shared" si="37"/>
        <v>-1.5393302814596365E-2</v>
      </c>
      <c r="G146" s="1">
        <v>45925</v>
      </c>
      <c r="H146">
        <v>386</v>
      </c>
      <c r="I146">
        <f t="shared" si="38"/>
        <v>-1.1017166282346941E-2</v>
      </c>
      <c r="J146">
        <f t="shared" si="49"/>
        <v>29.233906204485876</v>
      </c>
      <c r="K146">
        <f t="shared" si="39"/>
        <v>-1.1538144276347018E-2</v>
      </c>
      <c r="M146" s="1">
        <v>45925</v>
      </c>
      <c r="N146" s="2">
        <v>12141</v>
      </c>
      <c r="O146">
        <f t="shared" si="40"/>
        <v>-5.9767479941051256E-3</v>
      </c>
      <c r="P146">
        <f t="shared" si="50"/>
        <v>16.269113149847101</v>
      </c>
      <c r="Q146">
        <f t="shared" si="41"/>
        <v>-6.9420142402751416E-3</v>
      </c>
      <c r="S146" s="1">
        <v>45925</v>
      </c>
      <c r="T146">
        <v>861.15</v>
      </c>
      <c r="U146">
        <f t="shared" si="42"/>
        <v>-5.8300623412607571E-3</v>
      </c>
      <c r="V146">
        <f t="shared" si="51"/>
        <v>25.69136240943315</v>
      </c>
      <c r="W146">
        <f t="shared" si="43"/>
        <v>-8.0794167167044829E-3</v>
      </c>
      <c r="Y146" s="1">
        <v>45925</v>
      </c>
      <c r="Z146" s="2">
        <v>1484.8</v>
      </c>
      <c r="AA146" s="4">
        <f t="shared" si="44"/>
        <v>-6.556938311253817E-3</v>
      </c>
      <c r="AB146">
        <f t="shared" si="52"/>
        <v>18.514765062631078</v>
      </c>
      <c r="AC146">
        <f t="shared" si="45"/>
        <v>-5.4253923716084829E-3</v>
      </c>
      <c r="AE146">
        <f t="shared" si="46"/>
        <v>112.31752378974798</v>
      </c>
      <c r="AF146">
        <f t="shared" si="47"/>
        <v>-9.0446221623821099E-3</v>
      </c>
      <c r="AH146">
        <v>-3.3053019558534881E-2</v>
      </c>
      <c r="AI146">
        <v>-1.3668892026869833E-2</v>
      </c>
      <c r="AJ146">
        <v>-1.6044695324470153E-2</v>
      </c>
      <c r="AK146">
        <v>-7.303340132392931E-3</v>
      </c>
      <c r="AL146">
        <v>-8.05014995246212E-4</v>
      </c>
    </row>
    <row r="147" spans="1:38" x14ac:dyDescent="0.3">
      <c r="A147" s="1">
        <v>45926</v>
      </c>
      <c r="B147" s="2">
        <v>1047.4000000000001</v>
      </c>
      <c r="C147">
        <f t="shared" si="36"/>
        <v>-2.9780927238200978E-2</v>
      </c>
      <c r="D147">
        <f t="shared" si="48"/>
        <v>21.935078534031412</v>
      </c>
      <c r="E147">
        <f t="shared" si="37"/>
        <v>-3.0839603255262492E-2</v>
      </c>
      <c r="G147" s="1">
        <v>45926</v>
      </c>
      <c r="H147">
        <v>383.8</v>
      </c>
      <c r="I147">
        <f t="shared" si="38"/>
        <v>-5.6994818652849446E-3</v>
      </c>
      <c r="J147">
        <f t="shared" si="49"/>
        <v>29.067288086221968</v>
      </c>
      <c r="K147">
        <f t="shared" si="39"/>
        <v>-6.2204598592850227E-3</v>
      </c>
      <c r="M147" s="1">
        <v>45926</v>
      </c>
      <c r="N147" s="2">
        <v>12070</v>
      </c>
      <c r="O147">
        <f t="shared" si="40"/>
        <v>-5.8479532163742687E-3</v>
      </c>
      <c r="P147">
        <f t="shared" si="50"/>
        <v>16.173972137274898</v>
      </c>
      <c r="Q147">
        <f t="shared" si="41"/>
        <v>-6.8132194625442847E-3</v>
      </c>
      <c r="S147" s="1">
        <v>45926</v>
      </c>
      <c r="T147">
        <v>856.95</v>
      </c>
      <c r="U147">
        <f t="shared" si="42"/>
        <v>-4.8771990942343751E-3</v>
      </c>
      <c r="V147">
        <f t="shared" si="51"/>
        <v>25.566060519960217</v>
      </c>
      <c r="W147">
        <f t="shared" si="43"/>
        <v>-7.1265534696781018E-3</v>
      </c>
      <c r="Y147" s="1">
        <v>45926</v>
      </c>
      <c r="Z147" s="2">
        <v>1448.9</v>
      </c>
      <c r="AA147" s="4">
        <f t="shared" si="44"/>
        <v>-2.4178340517241288E-2</v>
      </c>
      <c r="AB147">
        <f t="shared" si="52"/>
        <v>18.06710876835006</v>
      </c>
      <c r="AC147">
        <f t="shared" si="45"/>
        <v>-2.3046794577595953E-2</v>
      </c>
      <c r="AE147">
        <f t="shared" si="46"/>
        <v>110.80950804583856</v>
      </c>
      <c r="AF147">
        <f t="shared" si="47"/>
        <v>-1.3426362094060673E-2</v>
      </c>
      <c r="AH147">
        <v>-1.5393302814596365E-2</v>
      </c>
      <c r="AI147">
        <v>-1.1538144276347018E-2</v>
      </c>
      <c r="AJ147">
        <v>-6.9420142402751416E-3</v>
      </c>
      <c r="AK147">
        <v>-8.0794167167044829E-3</v>
      </c>
      <c r="AL147">
        <v>-5.4253923716084829E-3</v>
      </c>
    </row>
    <row r="148" spans="1:38" x14ac:dyDescent="0.3">
      <c r="A148" s="1">
        <v>45929</v>
      </c>
      <c r="B148" s="2">
        <v>1035.3499999999999</v>
      </c>
      <c r="C148">
        <f t="shared" si="36"/>
        <v>-1.1504678250907181E-2</v>
      </c>
      <c r="D148">
        <f t="shared" si="48"/>
        <v>21.682722513089001</v>
      </c>
      <c r="E148">
        <f t="shared" si="37"/>
        <v>-1.2563354267968696E-2</v>
      </c>
      <c r="G148" s="1">
        <v>45929</v>
      </c>
      <c r="H148">
        <v>388.05</v>
      </c>
      <c r="I148">
        <f t="shared" si="38"/>
        <v>1.1073475768629494E-2</v>
      </c>
      <c r="J148">
        <f t="shared" si="49"/>
        <v>29.389163996504518</v>
      </c>
      <c r="K148">
        <f t="shared" si="39"/>
        <v>1.0552497774629417E-2</v>
      </c>
      <c r="M148" s="1">
        <v>45929</v>
      </c>
      <c r="N148" s="2">
        <v>12041</v>
      </c>
      <c r="O148">
        <f t="shared" si="40"/>
        <v>-2.4026512013256007E-3</v>
      </c>
      <c r="P148">
        <f t="shared" si="50"/>
        <v>16.135111723689068</v>
      </c>
      <c r="Q148">
        <f t="shared" si="41"/>
        <v>-3.3679174474956167E-3</v>
      </c>
      <c r="S148" s="1">
        <v>45929</v>
      </c>
      <c r="T148">
        <v>870.75</v>
      </c>
      <c r="U148">
        <f t="shared" si="42"/>
        <v>1.6103623315245875E-2</v>
      </c>
      <c r="V148">
        <f t="shared" si="51"/>
        <v>25.977766728228435</v>
      </c>
      <c r="W148">
        <f t="shared" si="43"/>
        <v>1.3854268939802149E-2</v>
      </c>
      <c r="Y148" s="1">
        <v>45929</v>
      </c>
      <c r="Z148" s="2">
        <v>1441.8</v>
      </c>
      <c r="AA148" s="4">
        <f t="shared" si="44"/>
        <v>-4.9002691697150498E-3</v>
      </c>
      <c r="AB148">
        <f t="shared" si="52"/>
        <v>17.978575072266626</v>
      </c>
      <c r="AC148">
        <f t="shared" si="45"/>
        <v>-3.7687232300697153E-3</v>
      </c>
      <c r="AE148">
        <f t="shared" si="46"/>
        <v>111.16334003377766</v>
      </c>
      <c r="AF148">
        <f t="shared" si="47"/>
        <v>3.19315548078003E-3</v>
      </c>
      <c r="AH148">
        <v>-3.0839603255262492E-2</v>
      </c>
      <c r="AI148">
        <v>-6.2204598592850227E-3</v>
      </c>
      <c r="AJ148">
        <v>-6.8132194625442847E-3</v>
      </c>
      <c r="AK148">
        <v>-7.1265534696781018E-3</v>
      </c>
      <c r="AL148">
        <v>-2.3046794577595953E-2</v>
      </c>
    </row>
    <row r="149" spans="1:38" x14ac:dyDescent="0.3">
      <c r="A149" s="1">
        <v>45930</v>
      </c>
      <c r="B149" s="2">
        <v>1026.8499999999999</v>
      </c>
      <c r="C149">
        <f t="shared" si="36"/>
        <v>-8.2097841309702047E-3</v>
      </c>
      <c r="D149">
        <f t="shared" si="48"/>
        <v>21.504712041884812</v>
      </c>
      <c r="E149">
        <f t="shared" si="37"/>
        <v>-9.2684601480317198E-3</v>
      </c>
      <c r="G149" s="1">
        <v>45930</v>
      </c>
      <c r="H149">
        <v>388.65</v>
      </c>
      <c r="I149">
        <f t="shared" si="38"/>
        <v>1.5461925009662824E-3</v>
      </c>
      <c r="J149">
        <f t="shared" si="49"/>
        <v>29.434605301485583</v>
      </c>
      <c r="K149">
        <f t="shared" si="39"/>
        <v>1.0252145069662047E-3</v>
      </c>
      <c r="M149" s="1">
        <v>45930</v>
      </c>
      <c r="N149" s="2">
        <v>12222</v>
      </c>
      <c r="O149">
        <f t="shared" si="40"/>
        <v>1.5031974088530853E-2</v>
      </c>
      <c r="P149">
        <f t="shared" si="50"/>
        <v>16.377654305035112</v>
      </c>
      <c r="Q149">
        <f t="shared" si="41"/>
        <v>1.4066707842360837E-2</v>
      </c>
      <c r="S149" s="1">
        <v>45930</v>
      </c>
      <c r="T149">
        <v>872.45</v>
      </c>
      <c r="U149">
        <f t="shared" si="42"/>
        <v>1.952339936836113E-3</v>
      </c>
      <c r="V149">
        <f t="shared" si="51"/>
        <v>26.028484159681771</v>
      </c>
      <c r="W149">
        <f t="shared" si="43"/>
        <v>-2.9701443860761373E-4</v>
      </c>
      <c r="Y149" s="1">
        <v>45930</v>
      </c>
      <c r="Z149" s="2">
        <v>1441.8</v>
      </c>
      <c r="AA149" s="4">
        <f t="shared" si="44"/>
        <v>0</v>
      </c>
      <c r="AB149">
        <f t="shared" si="52"/>
        <v>17.978575072266626</v>
      </c>
      <c r="AC149">
        <f t="shared" si="45"/>
        <v>1.1315459396453345E-3</v>
      </c>
      <c r="AE149">
        <f t="shared" si="46"/>
        <v>111.3240308803539</v>
      </c>
      <c r="AF149">
        <f t="shared" si="47"/>
        <v>1.4455381290938707E-3</v>
      </c>
      <c r="AH149">
        <v>-1.2563354267968696E-2</v>
      </c>
      <c r="AI149">
        <v>1.0552497774629417E-2</v>
      </c>
      <c r="AJ149">
        <v>-3.3679174474956167E-3</v>
      </c>
      <c r="AK149">
        <v>1.3854268939802149E-2</v>
      </c>
      <c r="AL149">
        <v>-3.7687232300697153E-3</v>
      </c>
    </row>
    <row r="150" spans="1:38" x14ac:dyDescent="0.3">
      <c r="A150" s="1">
        <v>45931</v>
      </c>
      <c r="B150" s="2">
        <v>1064.7</v>
      </c>
      <c r="C150">
        <f t="shared" si="36"/>
        <v>3.6860300920290343E-2</v>
      </c>
      <c r="D150">
        <f t="shared" si="48"/>
        <v>22.297382198952878</v>
      </c>
      <c r="E150">
        <f t="shared" si="37"/>
        <v>3.5801624903228829E-2</v>
      </c>
      <c r="G150" s="1">
        <v>45931</v>
      </c>
      <c r="H150">
        <v>391.15</v>
      </c>
      <c r="I150">
        <f t="shared" si="38"/>
        <v>6.4325228354560659E-3</v>
      </c>
      <c r="J150">
        <f t="shared" si="49"/>
        <v>29.623944072240025</v>
      </c>
      <c r="K150">
        <f t="shared" si="39"/>
        <v>5.9115448414559877E-3</v>
      </c>
      <c r="M150" s="1">
        <v>45931</v>
      </c>
      <c r="N150" s="2">
        <v>12095</v>
      </c>
      <c r="O150">
        <f t="shared" si="40"/>
        <v>-1.0391098019963999E-2</v>
      </c>
      <c r="P150">
        <f t="shared" si="50"/>
        <v>16.207472493814407</v>
      </c>
      <c r="Q150">
        <f t="shared" si="41"/>
        <v>-1.1356364266134015E-2</v>
      </c>
      <c r="S150" s="1">
        <v>45931</v>
      </c>
      <c r="T150">
        <v>864.1</v>
      </c>
      <c r="U150">
        <f t="shared" si="42"/>
        <v>-9.5707490400596274E-3</v>
      </c>
      <c r="V150">
        <f t="shared" si="51"/>
        <v>25.77937206989629</v>
      </c>
      <c r="W150">
        <f t="shared" si="43"/>
        <v>-1.1820103415503354E-2</v>
      </c>
      <c r="Y150" s="1">
        <v>45931</v>
      </c>
      <c r="Z150" s="2">
        <v>1445.8</v>
      </c>
      <c r="AA150" s="4">
        <f t="shared" si="44"/>
        <v>2.7743098904147593E-3</v>
      </c>
      <c r="AB150">
        <f t="shared" si="52"/>
        <v>18.02845321090518</v>
      </c>
      <c r="AC150">
        <f t="shared" si="45"/>
        <v>3.9058558300600938E-3</v>
      </c>
      <c r="AE150">
        <f t="shared" si="46"/>
        <v>111.93662404580877</v>
      </c>
      <c r="AF150">
        <f t="shared" si="47"/>
        <v>5.5027936071885275E-3</v>
      </c>
      <c r="AH150">
        <v>-9.2684601480317198E-3</v>
      </c>
      <c r="AI150">
        <v>1.0252145069662047E-3</v>
      </c>
      <c r="AJ150">
        <v>1.4066707842360837E-2</v>
      </c>
      <c r="AK150">
        <v>-2.9701443860761373E-4</v>
      </c>
      <c r="AL150">
        <v>1.1315459396453345E-3</v>
      </c>
    </row>
    <row r="151" spans="1:38" x14ac:dyDescent="0.3">
      <c r="A151" s="1">
        <v>45933</v>
      </c>
      <c r="B151" s="2">
        <v>1070.3</v>
      </c>
      <c r="C151">
        <f t="shared" si="36"/>
        <v>5.2596975673897895E-3</v>
      </c>
      <c r="D151">
        <f t="shared" si="48"/>
        <v>22.414659685863871</v>
      </c>
      <c r="E151">
        <f t="shared" si="37"/>
        <v>4.2010215503282744E-3</v>
      </c>
      <c r="G151" s="1">
        <v>45933</v>
      </c>
      <c r="H151">
        <v>394.9</v>
      </c>
      <c r="I151">
        <f t="shared" si="38"/>
        <v>9.5871149175508121E-3</v>
      </c>
      <c r="J151">
        <f t="shared" si="49"/>
        <v>29.907952228371688</v>
      </c>
      <c r="K151">
        <f t="shared" si="39"/>
        <v>9.0661369235507348E-3</v>
      </c>
      <c r="M151" s="1">
        <v>45933</v>
      </c>
      <c r="N151" s="2">
        <v>12019</v>
      </c>
      <c r="O151">
        <f t="shared" si="40"/>
        <v>-6.2835882596114093E-3</v>
      </c>
      <c r="P151">
        <f t="shared" si="50"/>
        <v>16.105631409934301</v>
      </c>
      <c r="Q151">
        <f t="shared" si="41"/>
        <v>-7.2488545057814253E-3</v>
      </c>
      <c r="S151" s="1">
        <v>45933</v>
      </c>
      <c r="T151">
        <v>867.3</v>
      </c>
      <c r="U151">
        <f t="shared" si="42"/>
        <v>3.7032750839022469E-3</v>
      </c>
      <c r="V151">
        <f t="shared" si="51"/>
        <v>25.874840176161385</v>
      </c>
      <c r="W151">
        <f t="shared" si="43"/>
        <v>1.4539207084585202E-3</v>
      </c>
      <c r="Y151" s="1">
        <v>45933</v>
      </c>
      <c r="Z151" s="2">
        <v>1446.6</v>
      </c>
      <c r="AA151" s="4">
        <f t="shared" si="44"/>
        <v>5.5332687785306024E-4</v>
      </c>
      <c r="AB151">
        <f t="shared" si="52"/>
        <v>18.038428838632889</v>
      </c>
      <c r="AC151">
        <f t="shared" si="45"/>
        <v>1.6848728174983947E-3</v>
      </c>
      <c r="AE151">
        <f t="shared" si="46"/>
        <v>112.34151233896412</v>
      </c>
      <c r="AF151">
        <f t="shared" si="47"/>
        <v>3.6171208182020909E-3</v>
      </c>
      <c r="AH151">
        <v>3.5801624903228829E-2</v>
      </c>
      <c r="AI151">
        <v>5.9115448414559877E-3</v>
      </c>
      <c r="AJ151">
        <v>-1.1356364266134015E-2</v>
      </c>
      <c r="AK151">
        <v>-1.1820103415503354E-2</v>
      </c>
      <c r="AL151">
        <v>3.9058558300600938E-3</v>
      </c>
    </row>
    <row r="152" spans="1:38" x14ac:dyDescent="0.3">
      <c r="A152" s="1">
        <v>45936</v>
      </c>
      <c r="B152" s="2">
        <v>1059.4000000000001</v>
      </c>
      <c r="C152">
        <f t="shared" si="36"/>
        <v>-1.0184060543772647E-2</v>
      </c>
      <c r="D152">
        <f t="shared" si="48"/>
        <v>22.186387434554973</v>
      </c>
      <c r="E152">
        <f t="shared" si="37"/>
        <v>-1.1242736560834162E-2</v>
      </c>
      <c r="G152" s="1">
        <v>45936</v>
      </c>
      <c r="H152">
        <v>395.55</v>
      </c>
      <c r="I152">
        <f t="shared" si="38"/>
        <v>1.6459863256521503E-3</v>
      </c>
      <c r="J152">
        <f t="shared" si="49"/>
        <v>29.957180308767846</v>
      </c>
      <c r="K152">
        <f t="shared" si="39"/>
        <v>1.1250083316520726E-3</v>
      </c>
      <c r="M152" s="1">
        <v>45936</v>
      </c>
      <c r="N152" s="2">
        <v>12055</v>
      </c>
      <c r="O152">
        <f t="shared" si="40"/>
        <v>2.9952575089441718E-3</v>
      </c>
      <c r="P152">
        <f t="shared" si="50"/>
        <v>16.153871923351193</v>
      </c>
      <c r="Q152">
        <f t="shared" si="41"/>
        <v>2.0299912627741558E-3</v>
      </c>
      <c r="S152" s="1">
        <v>45936</v>
      </c>
      <c r="T152">
        <v>874.05</v>
      </c>
      <c r="U152">
        <f t="shared" si="42"/>
        <v>7.7827741265997933E-3</v>
      </c>
      <c r="V152">
        <f t="shared" si="51"/>
        <v>26.076218212814322</v>
      </c>
      <c r="W152">
        <f t="shared" si="43"/>
        <v>5.5334197511560665E-3</v>
      </c>
      <c r="Y152" s="1">
        <v>45936</v>
      </c>
      <c r="Z152" s="2">
        <v>1476</v>
      </c>
      <c r="AA152" s="4">
        <f t="shared" si="44"/>
        <v>2.0323517212774846E-2</v>
      </c>
      <c r="AB152">
        <f t="shared" si="52"/>
        <v>18.40503315762626</v>
      </c>
      <c r="AC152">
        <f t="shared" si="45"/>
        <v>2.1455063152420181E-2</v>
      </c>
      <c r="AE152">
        <f t="shared" si="46"/>
        <v>112.7786910371146</v>
      </c>
      <c r="AF152">
        <f t="shared" si="47"/>
        <v>3.8915151580956042E-3</v>
      </c>
      <c r="AH152">
        <v>4.2010215503282744E-3</v>
      </c>
      <c r="AI152">
        <v>9.0661369235507348E-3</v>
      </c>
      <c r="AJ152">
        <v>-7.2488545057814253E-3</v>
      </c>
      <c r="AK152">
        <v>1.4539207084585202E-3</v>
      </c>
      <c r="AL152">
        <v>1.6848728174983947E-3</v>
      </c>
    </row>
    <row r="153" spans="1:38" x14ac:dyDescent="0.3">
      <c r="A153" s="1">
        <v>45937</v>
      </c>
      <c r="B153" s="2">
        <v>1060.7</v>
      </c>
      <c r="C153">
        <f t="shared" si="36"/>
        <v>1.2271096847271611E-3</v>
      </c>
      <c r="D153">
        <f t="shared" si="48"/>
        <v>22.213612565445025</v>
      </c>
      <c r="E153">
        <f t="shared" si="37"/>
        <v>1.6843366766564603E-4</v>
      </c>
      <c r="G153" s="1">
        <v>45937</v>
      </c>
      <c r="H153">
        <v>392.5</v>
      </c>
      <c r="I153">
        <f t="shared" si="38"/>
        <v>-7.7107824548097873E-3</v>
      </c>
      <c r="J153">
        <f t="shared" si="49"/>
        <v>29.726187008447425</v>
      </c>
      <c r="K153">
        <f t="shared" si="39"/>
        <v>-8.2317604488098654E-3</v>
      </c>
      <c r="M153" s="1">
        <v>45937</v>
      </c>
      <c r="N153" s="2">
        <v>12184</v>
      </c>
      <c r="O153">
        <f t="shared" si="40"/>
        <v>1.0700953961012028E-2</v>
      </c>
      <c r="P153">
        <f t="shared" si="50"/>
        <v>16.32673376309506</v>
      </c>
      <c r="Q153">
        <f t="shared" si="41"/>
        <v>9.7356877148420118E-3</v>
      </c>
      <c r="S153" s="1">
        <v>45937</v>
      </c>
      <c r="T153">
        <v>870</v>
      </c>
      <c r="U153">
        <f t="shared" si="42"/>
        <v>-4.6336021966706196E-3</v>
      </c>
      <c r="V153">
        <f t="shared" si="51"/>
        <v>25.955391390822562</v>
      </c>
      <c r="W153">
        <f t="shared" si="43"/>
        <v>-6.8829565721143463E-3</v>
      </c>
      <c r="Y153" s="1">
        <v>45937</v>
      </c>
      <c r="Z153" s="2">
        <v>1458.5</v>
      </c>
      <c r="AA153" s="4">
        <f t="shared" si="44"/>
        <v>-1.1856368563685637E-2</v>
      </c>
      <c r="AB153">
        <f t="shared" si="52"/>
        <v>18.186816301082587</v>
      </c>
      <c r="AC153">
        <f t="shared" si="45"/>
        <v>-1.0724822624040302E-2</v>
      </c>
      <c r="AE153">
        <f t="shared" si="46"/>
        <v>112.40874102889265</v>
      </c>
      <c r="AF153">
        <f t="shared" si="47"/>
        <v>-3.2803183369116695E-3</v>
      </c>
      <c r="AH153">
        <v>-1.1242736560834162E-2</v>
      </c>
      <c r="AI153">
        <v>1.1250083316520726E-3</v>
      </c>
      <c r="AJ153">
        <v>2.0299912627741558E-3</v>
      </c>
      <c r="AK153">
        <v>5.5334197511560665E-3</v>
      </c>
      <c r="AL153">
        <v>2.1455063152420181E-2</v>
      </c>
    </row>
    <row r="154" spans="1:38" x14ac:dyDescent="0.3">
      <c r="A154" s="1">
        <v>45938</v>
      </c>
      <c r="B154" s="2">
        <v>1045.0999999999999</v>
      </c>
      <c r="C154">
        <f t="shared" si="36"/>
        <v>-1.4707268784764907E-2</v>
      </c>
      <c r="D154">
        <f t="shared" si="48"/>
        <v>21.886910994764396</v>
      </c>
      <c r="E154">
        <f t="shared" si="37"/>
        <v>-1.5765944801826422E-2</v>
      </c>
      <c r="G154" s="1">
        <v>45938</v>
      </c>
      <c r="H154">
        <v>385.45</v>
      </c>
      <c r="I154">
        <f t="shared" si="38"/>
        <v>-1.7961783439490474E-2</v>
      </c>
      <c r="J154">
        <f t="shared" si="49"/>
        <v>29.192251674919895</v>
      </c>
      <c r="K154">
        <f t="shared" si="39"/>
        <v>-1.8482761433490553E-2</v>
      </c>
      <c r="M154" s="1">
        <v>45938</v>
      </c>
      <c r="N154" s="2">
        <v>11991</v>
      </c>
      <c r="O154">
        <f t="shared" si="40"/>
        <v>-1.5840446487196323E-2</v>
      </c>
      <c r="P154">
        <f t="shared" si="50"/>
        <v>16.068111010610053</v>
      </c>
      <c r="Q154">
        <f t="shared" si="41"/>
        <v>-1.680571273336634E-2</v>
      </c>
      <c r="S154" s="1">
        <v>45938</v>
      </c>
      <c r="T154">
        <v>861.5</v>
      </c>
      <c r="U154">
        <f t="shared" si="42"/>
        <v>-9.7701149425287355E-3</v>
      </c>
      <c r="V154">
        <f t="shared" si="51"/>
        <v>25.701804233555904</v>
      </c>
      <c r="W154">
        <f t="shared" si="43"/>
        <v>-1.2019469317972462E-2</v>
      </c>
      <c r="Y154" s="1">
        <v>45938</v>
      </c>
      <c r="Z154" s="2">
        <v>1495</v>
      </c>
      <c r="AA154" s="4">
        <f t="shared" si="44"/>
        <v>2.5025711347274597E-2</v>
      </c>
      <c r="AB154">
        <f t="shared" si="52"/>
        <v>18.641954316159385</v>
      </c>
      <c r="AC154">
        <f t="shared" si="45"/>
        <v>2.6157257286919932E-2</v>
      </c>
      <c r="AE154">
        <f t="shared" si="46"/>
        <v>111.49103223000962</v>
      </c>
      <c r="AF154">
        <f t="shared" si="47"/>
        <v>-8.1640341354516366E-3</v>
      </c>
      <c r="AH154">
        <v>1.6843366766564603E-4</v>
      </c>
      <c r="AI154">
        <v>-8.2317604488098654E-3</v>
      </c>
      <c r="AJ154">
        <v>9.7356877148420118E-3</v>
      </c>
      <c r="AK154">
        <v>-6.8829565721143463E-3</v>
      </c>
      <c r="AL154">
        <v>-1.0724822624040302E-2</v>
      </c>
    </row>
    <row r="155" spans="1:38" x14ac:dyDescent="0.3">
      <c r="A155" s="1">
        <v>45939</v>
      </c>
      <c r="B155" s="2">
        <v>1051.5</v>
      </c>
      <c r="C155">
        <f t="shared" si="36"/>
        <v>6.1238159027845098E-3</v>
      </c>
      <c r="D155">
        <f t="shared" si="48"/>
        <v>22.020942408376964</v>
      </c>
      <c r="E155">
        <f t="shared" si="37"/>
        <v>5.0651398857229947E-3</v>
      </c>
      <c r="G155" s="1">
        <v>45939</v>
      </c>
      <c r="H155">
        <v>388.2</v>
      </c>
      <c r="I155">
        <f t="shared" si="38"/>
        <v>7.1345180957322609E-3</v>
      </c>
      <c r="J155">
        <f t="shared" si="49"/>
        <v>29.400524322749781</v>
      </c>
      <c r="K155">
        <f t="shared" si="39"/>
        <v>6.6135401017321828E-3</v>
      </c>
      <c r="M155" s="1">
        <v>45939</v>
      </c>
      <c r="N155" s="2">
        <v>12192</v>
      </c>
      <c r="O155">
        <f t="shared" si="40"/>
        <v>1.6762571928946712E-2</v>
      </c>
      <c r="P155">
        <f t="shared" si="50"/>
        <v>16.337453877187706</v>
      </c>
      <c r="Q155">
        <f t="shared" si="41"/>
        <v>1.5797305682776694E-2</v>
      </c>
      <c r="S155" s="1">
        <v>45939</v>
      </c>
      <c r="T155">
        <v>862.1</v>
      </c>
      <c r="U155">
        <f t="shared" si="42"/>
        <v>6.9645966337785576E-4</v>
      </c>
      <c r="V155">
        <f t="shared" si="51"/>
        <v>25.71970450348061</v>
      </c>
      <c r="W155">
        <f t="shared" si="43"/>
        <v>-1.5528947120658711E-3</v>
      </c>
      <c r="Y155" s="1">
        <v>45939</v>
      </c>
      <c r="Z155" s="2">
        <v>1509.3</v>
      </c>
      <c r="AA155" s="4">
        <f t="shared" si="44"/>
        <v>9.5652173913043179E-3</v>
      </c>
      <c r="AB155">
        <f t="shared" si="52"/>
        <v>18.820268661792213</v>
      </c>
      <c r="AC155">
        <f t="shared" si="45"/>
        <v>1.0696763330949653E-2</v>
      </c>
      <c r="AE155">
        <f t="shared" si="46"/>
        <v>112.29889377358728</v>
      </c>
      <c r="AF155">
        <f t="shared" si="47"/>
        <v>7.2459777922857516E-3</v>
      </c>
      <c r="AH155">
        <v>-1.5765944801826422E-2</v>
      </c>
      <c r="AI155">
        <v>-1.8482761433490553E-2</v>
      </c>
      <c r="AJ155">
        <v>-1.680571273336634E-2</v>
      </c>
      <c r="AK155">
        <v>-1.2019469317972462E-2</v>
      </c>
      <c r="AL155">
        <v>2.6157257286919932E-2</v>
      </c>
    </row>
    <row r="156" spans="1:38" x14ac:dyDescent="0.3">
      <c r="A156" s="1">
        <v>45940</v>
      </c>
      <c r="B156" s="2">
        <v>1064.3</v>
      </c>
      <c r="C156">
        <f t="shared" si="36"/>
        <v>1.2173086067522543E-2</v>
      </c>
      <c r="D156">
        <f t="shared" si="48"/>
        <v>22.289005235602097</v>
      </c>
      <c r="E156">
        <f t="shared" si="37"/>
        <v>1.1114410050461028E-2</v>
      </c>
      <c r="G156" s="1">
        <v>45940</v>
      </c>
      <c r="H156">
        <v>390.1</v>
      </c>
      <c r="I156">
        <f t="shared" si="38"/>
        <v>4.8943843379702064E-3</v>
      </c>
      <c r="J156">
        <f t="shared" si="49"/>
        <v>29.544421788523163</v>
      </c>
      <c r="K156">
        <f t="shared" si="39"/>
        <v>4.3734063439701282E-3</v>
      </c>
      <c r="M156" s="1">
        <v>45940</v>
      </c>
      <c r="N156" s="2">
        <v>12281</v>
      </c>
      <c r="O156">
        <f t="shared" si="40"/>
        <v>7.2998687664041998E-3</v>
      </c>
      <c r="P156">
        <f t="shared" si="50"/>
        <v>16.456715146468355</v>
      </c>
      <c r="Q156">
        <f t="shared" si="41"/>
        <v>6.3346025202341838E-3</v>
      </c>
      <c r="S156" s="1">
        <v>45940</v>
      </c>
      <c r="T156">
        <v>880.65</v>
      </c>
      <c r="U156">
        <f t="shared" si="42"/>
        <v>2.1517225379886269E-2</v>
      </c>
      <c r="V156">
        <f t="shared" si="51"/>
        <v>26.273121181986081</v>
      </c>
      <c r="W156">
        <f t="shared" si="43"/>
        <v>1.9267871004442542E-2</v>
      </c>
      <c r="Y156" s="1">
        <v>45940</v>
      </c>
      <c r="Z156" s="2">
        <v>1514.9</v>
      </c>
      <c r="AA156" s="4">
        <f t="shared" si="44"/>
        <v>3.7103292917247312E-3</v>
      </c>
      <c r="AB156">
        <f t="shared" si="52"/>
        <v>18.890098055886188</v>
      </c>
      <c r="AC156">
        <f t="shared" si="45"/>
        <v>4.8418752313700662E-3</v>
      </c>
      <c r="AE156">
        <f t="shared" si="46"/>
        <v>113.4533614084659</v>
      </c>
      <c r="AF156">
        <f t="shared" si="47"/>
        <v>1.0280311729572444E-2</v>
      </c>
      <c r="AH156">
        <v>5.0651398857229947E-3</v>
      </c>
      <c r="AI156">
        <v>6.6135401017321828E-3</v>
      </c>
      <c r="AJ156">
        <v>1.5797305682776694E-2</v>
      </c>
      <c r="AK156">
        <v>-1.5528947120658711E-3</v>
      </c>
      <c r="AL156">
        <v>1.0696763330949653E-2</v>
      </c>
    </row>
    <row r="157" spans="1:38" x14ac:dyDescent="0.3">
      <c r="A157" s="1">
        <v>45943</v>
      </c>
      <c r="B157" s="2">
        <v>1051.3</v>
      </c>
      <c r="C157">
        <f t="shared" si="36"/>
        <v>-1.2214601146293339E-2</v>
      </c>
      <c r="D157">
        <f t="shared" si="48"/>
        <v>22.016753926701572</v>
      </c>
      <c r="E157">
        <f t="shared" si="37"/>
        <v>-1.3273277163354854E-2</v>
      </c>
      <c r="G157" s="1">
        <v>45943</v>
      </c>
      <c r="H157">
        <v>391.15</v>
      </c>
      <c r="I157">
        <f t="shared" si="38"/>
        <v>2.6916175339655331E-3</v>
      </c>
      <c r="J157">
        <f t="shared" si="49"/>
        <v>29.623944072240025</v>
      </c>
      <c r="K157">
        <f t="shared" si="39"/>
        <v>2.1706395399654554E-3</v>
      </c>
      <c r="M157" s="1">
        <v>45943</v>
      </c>
      <c r="N157" s="2">
        <v>12172</v>
      </c>
      <c r="O157">
        <f t="shared" si="40"/>
        <v>-8.8754987378877933E-3</v>
      </c>
      <c r="P157">
        <f t="shared" si="50"/>
        <v>16.310653591956097</v>
      </c>
      <c r="Q157">
        <f t="shared" si="41"/>
        <v>-9.8407649840578093E-3</v>
      </c>
      <c r="S157" s="1">
        <v>45943</v>
      </c>
      <c r="T157">
        <v>882.95</v>
      </c>
      <c r="U157">
        <f t="shared" si="42"/>
        <v>2.61170726168179E-3</v>
      </c>
      <c r="V157">
        <f t="shared" si="51"/>
        <v>26.341738883364119</v>
      </c>
      <c r="W157">
        <f t="shared" si="43"/>
        <v>3.6235288623806322E-4</v>
      </c>
      <c r="Y157" s="1">
        <v>45943</v>
      </c>
      <c r="Z157" s="2">
        <v>1493.2</v>
      </c>
      <c r="AA157" s="4">
        <f t="shared" si="44"/>
        <v>-1.4324377846722585E-2</v>
      </c>
      <c r="AB157">
        <f t="shared" si="52"/>
        <v>18.619509153772036</v>
      </c>
      <c r="AC157">
        <f t="shared" si="45"/>
        <v>-1.319283190707725E-2</v>
      </c>
      <c r="AE157">
        <f t="shared" si="46"/>
        <v>112.91259962803385</v>
      </c>
      <c r="AF157">
        <f t="shared" si="47"/>
        <v>-4.7663795388587227E-3</v>
      </c>
      <c r="AH157">
        <v>1.1114410050461028E-2</v>
      </c>
      <c r="AI157">
        <v>4.3734063439701282E-3</v>
      </c>
      <c r="AJ157">
        <v>6.3346025202341838E-3</v>
      </c>
      <c r="AK157">
        <v>1.9267871004442542E-2</v>
      </c>
      <c r="AL157">
        <v>4.8418752313700662E-3</v>
      </c>
    </row>
    <row r="158" spans="1:38" x14ac:dyDescent="0.3">
      <c r="A158" s="1">
        <v>45944</v>
      </c>
      <c r="B158" s="2">
        <v>1036.2</v>
      </c>
      <c r="C158">
        <f t="shared" si="36"/>
        <v>-1.4363169409302682E-2</v>
      </c>
      <c r="D158">
        <f t="shared" si="48"/>
        <v>21.700523560209426</v>
      </c>
      <c r="E158">
        <f t="shared" si="37"/>
        <v>-1.5421845426364197E-2</v>
      </c>
      <c r="G158" s="1">
        <v>45944</v>
      </c>
      <c r="H158">
        <v>391.55</v>
      </c>
      <c r="I158">
        <f t="shared" si="38"/>
        <v>1.0226255912055072E-3</v>
      </c>
      <c r="J158">
        <f t="shared" si="49"/>
        <v>29.65423827556074</v>
      </c>
      <c r="K158">
        <f t="shared" si="39"/>
        <v>5.0164759720542945E-4</v>
      </c>
      <c r="M158" s="1">
        <v>45944</v>
      </c>
      <c r="N158" s="2">
        <v>12070</v>
      </c>
      <c r="O158">
        <f t="shared" si="40"/>
        <v>-8.3798882681564244E-3</v>
      </c>
      <c r="P158">
        <f t="shared" si="50"/>
        <v>16.173972137274902</v>
      </c>
      <c r="Q158">
        <f t="shared" si="41"/>
        <v>-9.3451545143264404E-3</v>
      </c>
      <c r="S158" s="1">
        <v>45944</v>
      </c>
      <c r="T158">
        <v>876.95</v>
      </c>
      <c r="U158">
        <f t="shared" si="42"/>
        <v>-6.7954017781301319E-3</v>
      </c>
      <c r="V158">
        <f t="shared" si="51"/>
        <v>26.162736184117069</v>
      </c>
      <c r="W158">
        <f t="shared" si="43"/>
        <v>-9.0447561535738595E-3</v>
      </c>
      <c r="Y158" s="1">
        <v>45944</v>
      </c>
      <c r="Z158" s="2">
        <v>1489.9</v>
      </c>
      <c r="AA158" s="4">
        <f t="shared" si="44"/>
        <v>-2.2100187516742261E-3</v>
      </c>
      <c r="AB158">
        <f t="shared" si="52"/>
        <v>18.578359689395228</v>
      </c>
      <c r="AC158">
        <f t="shared" si="45"/>
        <v>-1.0784728120288916E-3</v>
      </c>
      <c r="AE158">
        <f t="shared" si="46"/>
        <v>112.26982984655737</v>
      </c>
      <c r="AF158">
        <f t="shared" si="47"/>
        <v>-5.6926311465145263E-3</v>
      </c>
      <c r="AH158">
        <v>-1.3273277163354854E-2</v>
      </c>
      <c r="AI158">
        <v>2.1706395399654554E-3</v>
      </c>
      <c r="AJ158">
        <v>-9.8407649840578093E-3</v>
      </c>
      <c r="AK158">
        <v>3.6235288623806322E-4</v>
      </c>
      <c r="AL158">
        <v>-1.319283190707725E-2</v>
      </c>
    </row>
    <row r="159" spans="1:38" x14ac:dyDescent="0.3">
      <c r="A159" s="1">
        <v>45945</v>
      </c>
      <c r="B159" s="2">
        <v>1043.8</v>
      </c>
      <c r="C159">
        <f t="shared" si="36"/>
        <v>7.3344914109244441E-3</v>
      </c>
      <c r="D159">
        <f t="shared" si="48"/>
        <v>21.859685863874343</v>
      </c>
      <c r="E159">
        <f t="shared" si="37"/>
        <v>6.2758153938629289E-3</v>
      </c>
      <c r="G159" s="1">
        <v>45945</v>
      </c>
      <c r="H159">
        <v>396.5</v>
      </c>
      <c r="I159">
        <f t="shared" si="38"/>
        <v>1.2642063593410774E-2</v>
      </c>
      <c r="J159">
        <f t="shared" si="49"/>
        <v>30.029129041654535</v>
      </c>
      <c r="K159">
        <f t="shared" si="39"/>
        <v>1.2121085599410697E-2</v>
      </c>
      <c r="M159" s="1">
        <v>45945</v>
      </c>
      <c r="N159" s="2">
        <v>12311</v>
      </c>
      <c r="O159">
        <f t="shared" si="40"/>
        <v>1.996685998342999E-2</v>
      </c>
      <c r="P159">
        <f t="shared" si="50"/>
        <v>16.496915574315768</v>
      </c>
      <c r="Q159">
        <f t="shared" si="41"/>
        <v>1.9001593737259972E-2</v>
      </c>
      <c r="S159" s="1">
        <v>45945</v>
      </c>
      <c r="T159">
        <v>886.1</v>
      </c>
      <c r="U159">
        <f t="shared" si="42"/>
        <v>1.0433890187581934E-2</v>
      </c>
      <c r="V159">
        <f t="shared" si="51"/>
        <v>26.435715300468825</v>
      </c>
      <c r="W159">
        <f t="shared" si="43"/>
        <v>8.1845358121382071E-3</v>
      </c>
      <c r="Y159" s="1">
        <v>45945</v>
      </c>
      <c r="Z159" s="2">
        <v>1474.4</v>
      </c>
      <c r="AA159" s="4">
        <f t="shared" si="44"/>
        <v>-1.0403382777367609E-2</v>
      </c>
      <c r="AB159">
        <f t="shared" si="52"/>
        <v>18.385081902170832</v>
      </c>
      <c r="AC159">
        <f t="shared" si="45"/>
        <v>-9.2718368377222738E-3</v>
      </c>
      <c r="AE159">
        <f t="shared" si="46"/>
        <v>113.20652768248431</v>
      </c>
      <c r="AF159">
        <f t="shared" si="47"/>
        <v>8.3432729630672497E-3</v>
      </c>
      <c r="AH159">
        <v>-1.5421845426364197E-2</v>
      </c>
      <c r="AI159">
        <v>5.0164759720542945E-4</v>
      </c>
      <c r="AJ159">
        <v>-9.3451545143264404E-3</v>
      </c>
      <c r="AK159">
        <v>-9.0447561535738595E-3</v>
      </c>
      <c r="AL159">
        <v>-1.0784728120288916E-3</v>
      </c>
    </row>
    <row r="160" spans="1:38" x14ac:dyDescent="0.3">
      <c r="A160" s="1">
        <v>45946</v>
      </c>
      <c r="B160" s="2">
        <v>1060.3</v>
      </c>
      <c r="C160">
        <f t="shared" si="36"/>
        <v>1.5807625981988888E-2</v>
      </c>
      <c r="D160">
        <f t="shared" si="48"/>
        <v>22.205235602094238</v>
      </c>
      <c r="E160">
        <f t="shared" si="37"/>
        <v>1.4748949964927373E-2</v>
      </c>
      <c r="G160" s="1">
        <v>45946</v>
      </c>
      <c r="H160">
        <v>399</v>
      </c>
      <c r="I160">
        <f t="shared" si="38"/>
        <v>6.3051702395964691E-3</v>
      </c>
      <c r="J160">
        <f t="shared" si="49"/>
        <v>30.218467812408974</v>
      </c>
      <c r="K160">
        <f t="shared" si="39"/>
        <v>5.7841922455963909E-3</v>
      </c>
      <c r="M160" s="1">
        <v>45946</v>
      </c>
      <c r="N160" s="2">
        <v>12358</v>
      </c>
      <c r="O160">
        <f t="shared" si="40"/>
        <v>3.8177239866785803E-3</v>
      </c>
      <c r="P160">
        <f t="shared" si="50"/>
        <v>16.559896244610044</v>
      </c>
      <c r="Q160">
        <f t="shared" si="41"/>
        <v>2.8524577405085643E-3</v>
      </c>
      <c r="S160" s="1">
        <v>45946</v>
      </c>
      <c r="T160">
        <v>886.95</v>
      </c>
      <c r="U160">
        <f t="shared" si="42"/>
        <v>9.5925967723735773E-4</v>
      </c>
      <c r="V160">
        <f t="shared" si="51"/>
        <v>26.461074016195493</v>
      </c>
      <c r="W160">
        <f t="shared" si="43"/>
        <v>-1.2900946982063689E-3</v>
      </c>
      <c r="Y160" s="1">
        <v>45946</v>
      </c>
      <c r="Z160" s="2">
        <v>1471.5</v>
      </c>
      <c r="AA160" s="4">
        <f t="shared" si="44"/>
        <v>-1.9669017905589331E-3</v>
      </c>
      <c r="AB160">
        <f t="shared" si="52"/>
        <v>18.34892025165788</v>
      </c>
      <c r="AC160">
        <f t="shared" si="45"/>
        <v>-8.3535585091359856E-4</v>
      </c>
      <c r="AE160">
        <f t="shared" si="46"/>
        <v>113.79359392696662</v>
      </c>
      <c r="AF160">
        <f t="shared" si="47"/>
        <v>5.1857985268206619E-3</v>
      </c>
      <c r="AH160">
        <v>6.2758153938629289E-3</v>
      </c>
      <c r="AI160">
        <v>1.2121085599410697E-2</v>
      </c>
      <c r="AJ160">
        <v>1.9001593737259972E-2</v>
      </c>
      <c r="AK160">
        <v>8.1845358121382071E-3</v>
      </c>
      <c r="AL160">
        <v>-9.2718368377222738E-3</v>
      </c>
    </row>
    <row r="161" spans="1:38" x14ac:dyDescent="0.3">
      <c r="A161" s="1">
        <v>45947</v>
      </c>
      <c r="B161" s="2">
        <v>1036.7</v>
      </c>
      <c r="C161">
        <f t="shared" si="36"/>
        <v>-2.2257851551447619E-2</v>
      </c>
      <c r="D161">
        <f t="shared" si="48"/>
        <v>21.710994764397903</v>
      </c>
      <c r="E161">
        <f t="shared" si="37"/>
        <v>-2.3316527568509132E-2</v>
      </c>
      <c r="G161" s="1">
        <v>45947</v>
      </c>
      <c r="H161">
        <v>397.8</v>
      </c>
      <c r="I161">
        <f t="shared" si="38"/>
        <v>-3.0075187969924528E-3</v>
      </c>
      <c r="J161">
        <f t="shared" si="49"/>
        <v>30.127585202446841</v>
      </c>
      <c r="K161">
        <f t="shared" si="39"/>
        <v>-3.5284967909925305E-3</v>
      </c>
      <c r="M161" s="1">
        <v>45947</v>
      </c>
      <c r="N161" s="2">
        <v>12370</v>
      </c>
      <c r="O161">
        <f t="shared" si="40"/>
        <v>9.7103091115067163E-4</v>
      </c>
      <c r="P161">
        <f t="shared" si="50"/>
        <v>16.575976415749007</v>
      </c>
      <c r="Q161">
        <f t="shared" si="41"/>
        <v>5.7646649806554007E-6</v>
      </c>
      <c r="S161" s="1">
        <v>45947</v>
      </c>
      <c r="T161">
        <v>889.15</v>
      </c>
      <c r="U161">
        <f t="shared" si="42"/>
        <v>2.4804103951743973E-3</v>
      </c>
      <c r="V161">
        <f t="shared" si="51"/>
        <v>26.526708339252743</v>
      </c>
      <c r="W161">
        <f t="shared" si="43"/>
        <v>2.3105601973067054E-4</v>
      </c>
      <c r="Y161" s="1">
        <v>45947</v>
      </c>
      <c r="Z161" s="2">
        <v>1441.1</v>
      </c>
      <c r="AA161" s="4">
        <f t="shared" si="44"/>
        <v>-2.0659191301393199E-2</v>
      </c>
      <c r="AB161">
        <f t="shared" si="52"/>
        <v>17.969846398004872</v>
      </c>
      <c r="AC161">
        <f t="shared" si="45"/>
        <v>-1.9527645361747864E-2</v>
      </c>
      <c r="AE161">
        <f t="shared" si="46"/>
        <v>112.91111111985137</v>
      </c>
      <c r="AF161">
        <f t="shared" si="47"/>
        <v>-7.7551185146822466E-3</v>
      </c>
      <c r="AH161">
        <v>1.4748949964927373E-2</v>
      </c>
      <c r="AI161">
        <v>5.7841922455963909E-3</v>
      </c>
      <c r="AJ161">
        <v>2.8524577405085643E-3</v>
      </c>
      <c r="AK161">
        <v>-1.2900946982063689E-3</v>
      </c>
      <c r="AL161">
        <v>-8.3535585091359856E-4</v>
      </c>
    </row>
    <row r="162" spans="1:38" x14ac:dyDescent="0.3">
      <c r="A162" s="1">
        <v>45950</v>
      </c>
      <c r="B162" s="2">
        <v>1034.0999999999999</v>
      </c>
      <c r="C162">
        <f t="shared" si="36"/>
        <v>-2.5079579434746178E-3</v>
      </c>
      <c r="D162">
        <f t="shared" si="48"/>
        <v>21.656544502617795</v>
      </c>
      <c r="E162">
        <f t="shared" si="37"/>
        <v>-3.5666339605361329E-3</v>
      </c>
      <c r="G162" s="1">
        <v>45950</v>
      </c>
      <c r="H162">
        <v>399.8</v>
      </c>
      <c r="I162">
        <f t="shared" si="38"/>
        <v>5.0276520864756154E-3</v>
      </c>
      <c r="J162">
        <f t="shared" si="49"/>
        <v>30.279056219050396</v>
      </c>
      <c r="K162">
        <f t="shared" si="39"/>
        <v>4.5066740924755381E-3</v>
      </c>
      <c r="M162" s="1">
        <v>45950</v>
      </c>
      <c r="N162" s="2">
        <v>12346</v>
      </c>
      <c r="O162">
        <f t="shared" si="40"/>
        <v>-1.9401778496362166E-3</v>
      </c>
      <c r="P162">
        <f t="shared" si="50"/>
        <v>16.543816073471078</v>
      </c>
      <c r="Q162">
        <f t="shared" si="41"/>
        <v>-2.9054440958062328E-3</v>
      </c>
      <c r="S162" s="1">
        <v>45950</v>
      </c>
      <c r="T162">
        <v>907.5</v>
      </c>
      <c r="U162">
        <f t="shared" si="42"/>
        <v>2.0637687679244249E-2</v>
      </c>
      <c r="V162">
        <f t="shared" si="51"/>
        <v>27.074158261116644</v>
      </c>
      <c r="W162">
        <f t="shared" si="43"/>
        <v>1.8388333303800523E-2</v>
      </c>
      <c r="Y162" s="1">
        <v>45950</v>
      </c>
      <c r="Z162" s="2">
        <v>1460.9</v>
      </c>
      <c r="AA162" s="4">
        <f t="shared" si="44"/>
        <v>1.3739504545139256E-2</v>
      </c>
      <c r="AB162">
        <f t="shared" si="52"/>
        <v>18.216743184265713</v>
      </c>
      <c r="AC162">
        <f t="shared" si="45"/>
        <v>1.4871050484784591E-2</v>
      </c>
      <c r="AE162">
        <f t="shared" si="46"/>
        <v>113.77031824052163</v>
      </c>
      <c r="AF162">
        <f t="shared" si="47"/>
        <v>7.6095887477207746E-3</v>
      </c>
      <c r="AH162">
        <v>-2.3316527568509132E-2</v>
      </c>
      <c r="AI162">
        <v>-3.5284967909925305E-3</v>
      </c>
      <c r="AJ162">
        <v>5.7646649806554007E-6</v>
      </c>
      <c r="AK162">
        <v>2.3105601973067054E-4</v>
      </c>
      <c r="AL162">
        <v>-1.9527645361747864E-2</v>
      </c>
    </row>
    <row r="163" spans="1:38" x14ac:dyDescent="0.3">
      <c r="A163" s="1">
        <v>45951</v>
      </c>
      <c r="B163" s="2">
        <v>1040</v>
      </c>
      <c r="C163">
        <f t="shared" si="36"/>
        <v>5.7054443477420865E-3</v>
      </c>
      <c r="D163">
        <f t="shared" si="48"/>
        <v>21.780104712041879</v>
      </c>
      <c r="E163">
        <f t="shared" si="37"/>
        <v>4.6467683306805714E-3</v>
      </c>
      <c r="G163" s="1">
        <v>45951</v>
      </c>
      <c r="H163">
        <v>398.8</v>
      </c>
      <c r="I163">
        <f t="shared" si="38"/>
        <v>-2.5012506253126563E-3</v>
      </c>
      <c r="J163">
        <f t="shared" si="49"/>
        <v>30.203320710748617</v>
      </c>
      <c r="K163">
        <f t="shared" si="39"/>
        <v>-3.022228619312734E-3</v>
      </c>
      <c r="M163" s="1">
        <v>45951</v>
      </c>
      <c r="N163" s="2">
        <v>12342</v>
      </c>
      <c r="O163">
        <f t="shared" si="40"/>
        <v>-3.2399157621901828E-4</v>
      </c>
      <c r="P163">
        <f t="shared" si="50"/>
        <v>16.538456016424757</v>
      </c>
      <c r="Q163">
        <f t="shared" si="41"/>
        <v>-1.2892578223890345E-3</v>
      </c>
      <c r="S163" s="1">
        <v>45951</v>
      </c>
      <c r="T163">
        <v>907.85</v>
      </c>
      <c r="U163">
        <f t="shared" si="42"/>
        <v>3.8567493112950165E-4</v>
      </c>
      <c r="V163">
        <f t="shared" si="51"/>
        <v>27.084600085239391</v>
      </c>
      <c r="W163">
        <f t="shared" si="43"/>
        <v>-1.8636794443142252E-3</v>
      </c>
      <c r="Y163" s="1">
        <v>45951</v>
      </c>
      <c r="Z163" s="2">
        <v>1472.4</v>
      </c>
      <c r="AA163" s="4">
        <f t="shared" si="44"/>
        <v>7.8718598124443828E-3</v>
      </c>
      <c r="AB163">
        <f t="shared" si="52"/>
        <v>18.360142832851555</v>
      </c>
      <c r="AC163">
        <f t="shared" si="45"/>
        <v>9.0034057520897177E-3</v>
      </c>
      <c r="AE163">
        <f t="shared" si="46"/>
        <v>113.96662435730619</v>
      </c>
      <c r="AF163">
        <f t="shared" si="47"/>
        <v>1.7254598547360445E-3</v>
      </c>
      <c r="AH163">
        <v>-3.5666339605361329E-3</v>
      </c>
      <c r="AI163">
        <v>4.5066740924755381E-3</v>
      </c>
      <c r="AJ163">
        <v>-2.9054440958062328E-3</v>
      </c>
      <c r="AK163">
        <v>1.8388333303800523E-2</v>
      </c>
      <c r="AL163">
        <v>1.4871050484784591E-2</v>
      </c>
    </row>
    <row r="164" spans="1:38" x14ac:dyDescent="0.3">
      <c r="A164" s="1">
        <v>45953</v>
      </c>
      <c r="B164" s="2">
        <v>1044.7</v>
      </c>
      <c r="C164">
        <f t="shared" si="36"/>
        <v>4.5192307692308127E-3</v>
      </c>
      <c r="D164">
        <f t="shared" si="48"/>
        <v>21.878534031413608</v>
      </c>
      <c r="E164">
        <f t="shared" si="37"/>
        <v>3.4605547521692976E-3</v>
      </c>
      <c r="G164" s="1">
        <v>45953</v>
      </c>
      <c r="H164">
        <v>397.65</v>
      </c>
      <c r="I164">
        <f t="shared" si="38"/>
        <v>-2.8836509528586611E-3</v>
      </c>
      <c r="J164">
        <f t="shared" si="49"/>
        <v>30.116224876201571</v>
      </c>
      <c r="K164">
        <f t="shared" si="39"/>
        <v>-3.4046289468587388E-3</v>
      </c>
      <c r="M164" s="1">
        <v>45953</v>
      </c>
      <c r="N164" s="2">
        <v>12145</v>
      </c>
      <c r="O164">
        <f t="shared" si="40"/>
        <v>-1.5961756603467832E-2</v>
      </c>
      <c r="P164">
        <f t="shared" si="50"/>
        <v>16.274473206893425</v>
      </c>
      <c r="Q164">
        <f t="shared" si="41"/>
        <v>-1.692702284963785E-2</v>
      </c>
      <c r="S164" s="1">
        <v>45953</v>
      </c>
      <c r="T164">
        <v>911.55</v>
      </c>
      <c r="U164">
        <f t="shared" si="42"/>
        <v>4.0755631436910633E-3</v>
      </c>
      <c r="V164">
        <f t="shared" si="51"/>
        <v>27.194985083108403</v>
      </c>
      <c r="W164">
        <f t="shared" si="43"/>
        <v>1.8262087682473366E-3</v>
      </c>
      <c r="Y164" s="1">
        <v>45953</v>
      </c>
      <c r="Z164" s="2">
        <v>1528.5</v>
      </c>
      <c r="AA164" s="4">
        <f t="shared" si="44"/>
        <v>3.8101059494702459E-2</v>
      </c>
      <c r="AB164">
        <f t="shared" si="52"/>
        <v>19.059683727257266</v>
      </c>
      <c r="AC164">
        <f t="shared" si="45"/>
        <v>3.9232605434347791E-2</v>
      </c>
      <c r="AE164">
        <f t="shared" si="46"/>
        <v>114.52390092487428</v>
      </c>
      <c r="AF164">
        <f t="shared" si="47"/>
        <v>4.8898225310327614E-3</v>
      </c>
      <c r="AH164">
        <v>4.6467683306805714E-3</v>
      </c>
      <c r="AI164">
        <v>-3.022228619312734E-3</v>
      </c>
      <c r="AJ164">
        <v>-1.2892578223890345E-3</v>
      </c>
      <c r="AK164">
        <v>-1.8636794443142252E-3</v>
      </c>
      <c r="AL164">
        <v>9.0034057520897177E-3</v>
      </c>
    </row>
    <row r="165" spans="1:38" x14ac:dyDescent="0.3">
      <c r="A165" s="1">
        <v>45954</v>
      </c>
      <c r="B165" s="2">
        <v>1031.0999999999999</v>
      </c>
      <c r="C165">
        <f t="shared" si="36"/>
        <v>-1.3018091318081876E-2</v>
      </c>
      <c r="D165">
        <f t="shared" si="48"/>
        <v>21.593717277486903</v>
      </c>
      <c r="E165">
        <f t="shared" si="37"/>
        <v>-1.4076767335143391E-2</v>
      </c>
      <c r="G165" s="1">
        <v>45954</v>
      </c>
      <c r="H165">
        <v>396.85</v>
      </c>
      <c r="I165">
        <f t="shared" si="38"/>
        <v>-2.0118194392052171E-3</v>
      </c>
      <c r="J165">
        <f t="shared" si="49"/>
        <v>30.055636469560152</v>
      </c>
      <c r="K165">
        <f t="shared" si="39"/>
        <v>-2.5327974332052948E-3</v>
      </c>
      <c r="M165" s="1">
        <v>45954</v>
      </c>
      <c r="N165" s="2">
        <v>11918</v>
      </c>
      <c r="O165">
        <f t="shared" si="40"/>
        <v>-1.8690819267188144E-2</v>
      </c>
      <c r="P165">
        <f t="shared" si="50"/>
        <v>15.970289969514685</v>
      </c>
      <c r="Q165">
        <f t="shared" si="41"/>
        <v>-1.9656085513358162E-2</v>
      </c>
      <c r="S165" s="1">
        <v>45954</v>
      </c>
      <c r="T165">
        <v>904.5</v>
      </c>
      <c r="U165">
        <f t="shared" si="42"/>
        <v>-7.734079315451654E-3</v>
      </c>
      <c r="V165">
        <f t="shared" si="51"/>
        <v>26.984656911493119</v>
      </c>
      <c r="W165">
        <f t="shared" si="43"/>
        <v>-9.9834336908953807E-3</v>
      </c>
      <c r="Y165" s="1">
        <v>45954</v>
      </c>
      <c r="Z165" s="2">
        <v>1525.4</v>
      </c>
      <c r="AA165" s="4">
        <f t="shared" si="44"/>
        <v>-2.028132155708151E-3</v>
      </c>
      <c r="AB165">
        <f t="shared" si="52"/>
        <v>19.021028169812386</v>
      </c>
      <c r="AC165">
        <f t="shared" si="45"/>
        <v>-8.9658621606281651E-4</v>
      </c>
      <c r="AE165">
        <f t="shared" si="46"/>
        <v>113.62532879786724</v>
      </c>
      <c r="AF165">
        <f t="shared" si="47"/>
        <v>-7.8461536827713063E-3</v>
      </c>
      <c r="AH165">
        <v>3.4605547521692976E-3</v>
      </c>
      <c r="AI165">
        <v>-3.4046289468587388E-3</v>
      </c>
      <c r="AJ165">
        <v>-1.692702284963785E-2</v>
      </c>
      <c r="AK165">
        <v>1.8262087682473366E-3</v>
      </c>
      <c r="AL165">
        <v>3.9232605434347791E-2</v>
      </c>
    </row>
    <row r="166" spans="1:38" x14ac:dyDescent="0.3">
      <c r="A166" s="1">
        <v>45957</v>
      </c>
      <c r="B166" s="2">
        <v>1017.1</v>
      </c>
      <c r="C166">
        <f t="shared" si="36"/>
        <v>-1.3577732518669273E-2</v>
      </c>
      <c r="D166">
        <f t="shared" si="48"/>
        <v>21.30052356020942</v>
      </c>
      <c r="E166">
        <f t="shared" si="37"/>
        <v>-1.4636408535730788E-2</v>
      </c>
      <c r="G166" s="1">
        <v>45957</v>
      </c>
      <c r="H166">
        <v>400.25</v>
      </c>
      <c r="I166">
        <f t="shared" si="38"/>
        <v>8.5674688169332918E-3</v>
      </c>
      <c r="J166">
        <f t="shared" si="49"/>
        <v>30.31313719778619</v>
      </c>
      <c r="K166">
        <f t="shared" si="39"/>
        <v>8.0464908229332145E-3</v>
      </c>
      <c r="M166" s="1">
        <v>45957</v>
      </c>
      <c r="N166" s="2">
        <v>12015</v>
      </c>
      <c r="O166">
        <f t="shared" si="40"/>
        <v>8.1389494881691556E-3</v>
      </c>
      <c r="P166">
        <f t="shared" si="50"/>
        <v>16.10027135288798</v>
      </c>
      <c r="Q166">
        <f t="shared" si="41"/>
        <v>7.1736832419991396E-3</v>
      </c>
      <c r="S166" s="1">
        <v>45957</v>
      </c>
      <c r="T166">
        <v>922.75</v>
      </c>
      <c r="U166">
        <f t="shared" si="42"/>
        <v>2.0176893311221668E-2</v>
      </c>
      <c r="V166">
        <f t="shared" si="51"/>
        <v>27.529123455036235</v>
      </c>
      <c r="W166">
        <f t="shared" si="43"/>
        <v>1.7927538935777941E-2</v>
      </c>
      <c r="Y166" s="1">
        <v>45957</v>
      </c>
      <c r="Z166" s="2">
        <v>1504.5</v>
      </c>
      <c r="AA166" s="4">
        <f t="shared" si="44"/>
        <v>-1.3701324242821614E-2</v>
      </c>
      <c r="AB166">
        <f t="shared" si="52"/>
        <v>18.760414895425942</v>
      </c>
      <c r="AC166">
        <f t="shared" si="45"/>
        <v>-1.2569778303176279E-2</v>
      </c>
      <c r="AE166">
        <f t="shared" si="46"/>
        <v>114.00347046134578</v>
      </c>
      <c r="AF166">
        <f t="shared" si="47"/>
        <v>3.3279698063732877E-3</v>
      </c>
      <c r="AH166">
        <v>-1.4076767335143391E-2</v>
      </c>
      <c r="AI166">
        <v>-2.5327974332052948E-3</v>
      </c>
      <c r="AJ166">
        <v>-1.9656085513358162E-2</v>
      </c>
      <c r="AK166">
        <v>-9.9834336908953807E-3</v>
      </c>
      <c r="AL166">
        <v>-8.9658621606281651E-4</v>
      </c>
    </row>
    <row r="167" spans="1:38" x14ac:dyDescent="0.3">
      <c r="A167" s="1">
        <v>45958</v>
      </c>
      <c r="B167" s="2">
        <v>1004.2</v>
      </c>
      <c r="C167">
        <f t="shared" si="36"/>
        <v>-1.2683118670730485E-2</v>
      </c>
      <c r="D167">
        <f t="shared" si="48"/>
        <v>21.030366492146594</v>
      </c>
      <c r="E167">
        <f t="shared" si="37"/>
        <v>-1.3741794687792E-2</v>
      </c>
      <c r="G167" s="1">
        <v>45958</v>
      </c>
      <c r="H167">
        <v>398.65</v>
      </c>
      <c r="I167">
        <f t="shared" si="38"/>
        <v>-3.9975015615241047E-3</v>
      </c>
      <c r="J167">
        <f t="shared" si="49"/>
        <v>30.191960384503346</v>
      </c>
      <c r="K167">
        <f t="shared" si="39"/>
        <v>-4.5184795555241828E-3</v>
      </c>
      <c r="M167" s="1">
        <v>45958</v>
      </c>
      <c r="N167" s="2">
        <v>11931</v>
      </c>
      <c r="O167">
        <f t="shared" si="40"/>
        <v>-6.9912609238451939E-3</v>
      </c>
      <c r="P167">
        <f t="shared" si="50"/>
        <v>15.987710154915231</v>
      </c>
      <c r="Q167">
        <f t="shared" si="41"/>
        <v>-7.9565271700152099E-3</v>
      </c>
      <c r="S167" s="1">
        <v>45958</v>
      </c>
      <c r="T167">
        <v>930.25</v>
      </c>
      <c r="U167">
        <f t="shared" si="42"/>
        <v>8.1278786236792192E-3</v>
      </c>
      <c r="V167">
        <f t="shared" si="51"/>
        <v>27.752876829095047</v>
      </c>
      <c r="W167">
        <f t="shared" si="43"/>
        <v>5.8785242482354925E-3</v>
      </c>
      <c r="Y167" s="1">
        <v>45958</v>
      </c>
      <c r="Z167" s="2">
        <v>1500.2</v>
      </c>
      <c r="AA167" s="4">
        <f t="shared" si="44"/>
        <v>-2.8580923894981421E-3</v>
      </c>
      <c r="AB167">
        <f t="shared" si="52"/>
        <v>18.706795896389497</v>
      </c>
      <c r="AC167">
        <f t="shared" si="45"/>
        <v>-1.7265464498528076E-3</v>
      </c>
      <c r="AE167">
        <f t="shared" si="46"/>
        <v>113.66970975704972</v>
      </c>
      <c r="AF167">
        <f t="shared" si="47"/>
        <v>-2.9276363512918957E-3</v>
      </c>
      <c r="AH167">
        <v>-1.4636408535730788E-2</v>
      </c>
      <c r="AI167">
        <v>8.0464908229332145E-3</v>
      </c>
      <c r="AJ167">
        <v>7.1736832419991396E-3</v>
      </c>
      <c r="AK167">
        <v>1.7927538935777941E-2</v>
      </c>
      <c r="AL167">
        <v>-1.2569778303176279E-2</v>
      </c>
    </row>
    <row r="168" spans="1:38" x14ac:dyDescent="0.3">
      <c r="A168" s="1">
        <v>45959</v>
      </c>
      <c r="B168" s="2">
        <v>1112.5999999999999</v>
      </c>
      <c r="C168">
        <f t="shared" si="36"/>
        <v>0.10794662417845037</v>
      </c>
      <c r="D168">
        <f t="shared" si="48"/>
        <v>23.300523560209417</v>
      </c>
      <c r="E168">
        <f t="shared" si="37"/>
        <v>0.10688794816138886</v>
      </c>
      <c r="G168" s="1">
        <v>45959</v>
      </c>
      <c r="H168">
        <v>410.7</v>
      </c>
      <c r="I168">
        <f t="shared" si="38"/>
        <v>3.02270161796062E-2</v>
      </c>
      <c r="J168">
        <f t="shared" si="49"/>
        <v>31.104573259539755</v>
      </c>
      <c r="K168">
        <f t="shared" si="39"/>
        <v>2.9706038185606121E-2</v>
      </c>
      <c r="M168" s="1">
        <v>45959</v>
      </c>
      <c r="N168" s="2">
        <v>11999</v>
      </c>
      <c r="O168">
        <f t="shared" si="40"/>
        <v>5.6994384376833455E-3</v>
      </c>
      <c r="P168">
        <f t="shared" si="50"/>
        <v>16.078831124702695</v>
      </c>
      <c r="Q168">
        <f t="shared" si="41"/>
        <v>4.7341721915133295E-3</v>
      </c>
      <c r="S168" s="1">
        <v>45959</v>
      </c>
      <c r="T168">
        <v>939.75</v>
      </c>
      <c r="U168">
        <f t="shared" si="42"/>
        <v>1.0212308519215264E-2</v>
      </c>
      <c r="V168">
        <f t="shared" si="51"/>
        <v>28.036297769569543</v>
      </c>
      <c r="W168">
        <f t="shared" si="43"/>
        <v>7.9629541437715376E-3</v>
      </c>
      <c r="Y168" s="1">
        <v>45959</v>
      </c>
      <c r="Z168" s="2">
        <v>1510.4</v>
      </c>
      <c r="AA168" s="4">
        <f t="shared" si="44"/>
        <v>6.7990934542061362E-3</v>
      </c>
      <c r="AB168">
        <f t="shared" si="52"/>
        <v>18.833985149917808</v>
      </c>
      <c r="AC168">
        <f t="shared" si="45"/>
        <v>7.9306393938514703E-3</v>
      </c>
      <c r="AE168">
        <f t="shared" si="46"/>
        <v>117.35421086393922</v>
      </c>
      <c r="AF168">
        <f t="shared" si="47"/>
        <v>3.2414097957710331E-2</v>
      </c>
      <c r="AH168">
        <v>-1.3741794687792E-2</v>
      </c>
      <c r="AI168">
        <v>-4.5184795555241828E-3</v>
      </c>
      <c r="AJ168">
        <v>-7.9565271700152099E-3</v>
      </c>
      <c r="AK168">
        <v>5.8785242482354925E-3</v>
      </c>
      <c r="AL168">
        <v>-1.7265464498528076E-3</v>
      </c>
    </row>
    <row r="169" spans="1:38" x14ac:dyDescent="0.3">
      <c r="A169" s="1">
        <v>45960</v>
      </c>
      <c r="B169" s="2">
        <v>1140.0999999999999</v>
      </c>
      <c r="C169">
        <f t="shared" si="36"/>
        <v>2.4716879381628618E-2</v>
      </c>
      <c r="D169">
        <f t="shared" si="48"/>
        <v>23.876439790575908</v>
      </c>
      <c r="E169">
        <f t="shared" si="37"/>
        <v>2.3658203364567101E-2</v>
      </c>
      <c r="G169" s="1">
        <v>45960</v>
      </c>
      <c r="H169">
        <v>409.8</v>
      </c>
      <c r="I169">
        <f t="shared" si="38"/>
        <v>-2.191380569758893E-3</v>
      </c>
      <c r="J169">
        <f t="shared" si="49"/>
        <v>31.03641130206816</v>
      </c>
      <c r="K169">
        <f t="shared" si="39"/>
        <v>-2.7123585637589707E-3</v>
      </c>
      <c r="M169" s="1">
        <v>45960</v>
      </c>
      <c r="N169" s="2">
        <v>12053</v>
      </c>
      <c r="O169">
        <f t="shared" si="40"/>
        <v>4.5003750312526047E-3</v>
      </c>
      <c r="P169">
        <f t="shared" si="50"/>
        <v>16.151191894828035</v>
      </c>
      <c r="Q169">
        <f t="shared" si="41"/>
        <v>3.5351087850825887E-3</v>
      </c>
      <c r="S169" s="1">
        <v>45960</v>
      </c>
      <c r="T169">
        <v>934.35</v>
      </c>
      <c r="U169">
        <f t="shared" si="42"/>
        <v>-5.7462090981643815E-3</v>
      </c>
      <c r="V169">
        <f t="shared" si="51"/>
        <v>27.875195340247199</v>
      </c>
      <c r="W169">
        <f t="shared" si="43"/>
        <v>-7.9955634736081083E-3</v>
      </c>
      <c r="Y169" s="1">
        <v>45960</v>
      </c>
      <c r="Z169" s="2">
        <v>1493.8</v>
      </c>
      <c r="AA169" s="4">
        <f t="shared" si="44"/>
        <v>-1.0990466101695006E-2</v>
      </c>
      <c r="AB169">
        <f t="shared" si="52"/>
        <v>18.626990874567809</v>
      </c>
      <c r="AC169">
        <f t="shared" si="45"/>
        <v>-9.8589201620496707E-3</v>
      </c>
      <c r="AE169">
        <f t="shared" si="46"/>
        <v>117.5662292022871</v>
      </c>
      <c r="AF169">
        <f t="shared" si="47"/>
        <v>1.8066530104634548E-3</v>
      </c>
      <c r="AH169">
        <v>0.10688794816138886</v>
      </c>
      <c r="AI169">
        <v>2.9706038185606121E-2</v>
      </c>
      <c r="AJ169">
        <v>4.7341721915133295E-3</v>
      </c>
      <c r="AK169">
        <v>7.9629541437715376E-3</v>
      </c>
      <c r="AL169">
        <v>7.9306393938514703E-3</v>
      </c>
    </row>
    <row r="170" spans="1:38" x14ac:dyDescent="0.3">
      <c r="A170" s="1">
        <v>45961</v>
      </c>
      <c r="B170" s="2">
        <v>1140</v>
      </c>
      <c r="C170">
        <f t="shared" si="36"/>
        <v>-8.7711604245161882E-5</v>
      </c>
      <c r="D170">
        <f t="shared" si="48"/>
        <v>23.874345549738216</v>
      </c>
      <c r="E170">
        <f t="shared" si="37"/>
        <v>-1.1463876213066769E-3</v>
      </c>
      <c r="G170" s="1">
        <v>45961</v>
      </c>
      <c r="H170">
        <v>404.9</v>
      </c>
      <c r="I170">
        <f t="shared" si="38"/>
        <v>-1.1957052220595496E-2</v>
      </c>
      <c r="J170">
        <f t="shared" si="49"/>
        <v>30.665307311389451</v>
      </c>
      <c r="K170">
        <f t="shared" si="39"/>
        <v>-1.2478030214595573E-2</v>
      </c>
      <c r="M170" s="1">
        <v>45961</v>
      </c>
      <c r="N170" s="2">
        <v>11947</v>
      </c>
      <c r="O170">
        <f t="shared" si="40"/>
        <v>-8.7944909980917606E-3</v>
      </c>
      <c r="P170">
        <f t="shared" si="50"/>
        <v>16.009150383100518</v>
      </c>
      <c r="Q170">
        <f t="shared" si="41"/>
        <v>-9.7597572442617766E-3</v>
      </c>
      <c r="S170" s="1">
        <v>45961</v>
      </c>
      <c r="T170">
        <v>937</v>
      </c>
      <c r="U170">
        <f t="shared" si="42"/>
        <v>2.8361962861882346E-3</v>
      </c>
      <c r="V170">
        <f t="shared" si="51"/>
        <v>27.954254865747981</v>
      </c>
      <c r="W170">
        <f t="shared" si="43"/>
        <v>5.8684191074450786E-4</v>
      </c>
      <c r="Y170" s="1">
        <v>45961</v>
      </c>
      <c r="Z170" s="2">
        <v>1482.3</v>
      </c>
      <c r="AA170" s="4">
        <f t="shared" si="44"/>
        <v>-7.6984870799303795E-3</v>
      </c>
      <c r="AB170">
        <f t="shared" si="52"/>
        <v>18.483591225981968</v>
      </c>
      <c r="AC170">
        <f t="shared" si="45"/>
        <v>-6.5669411402850455E-3</v>
      </c>
      <c r="AE170">
        <f t="shared" si="46"/>
        <v>116.98664933595813</v>
      </c>
      <c r="AF170">
        <f t="shared" si="47"/>
        <v>-4.9298159025900068E-3</v>
      </c>
      <c r="AH170">
        <v>2.3658203364567101E-2</v>
      </c>
      <c r="AI170">
        <v>-2.7123585637589707E-3</v>
      </c>
      <c r="AJ170">
        <v>3.5351087850825887E-3</v>
      </c>
      <c r="AK170">
        <v>-7.9955634736081083E-3</v>
      </c>
      <c r="AL170">
        <v>-9.8589201620496707E-3</v>
      </c>
    </row>
    <row r="171" spans="1:38" x14ac:dyDescent="0.3">
      <c r="A171" s="1">
        <v>45964</v>
      </c>
      <c r="B171" s="2">
        <v>1105.2</v>
      </c>
      <c r="C171">
        <f t="shared" si="36"/>
        <v>-3.0526315789473644E-2</v>
      </c>
      <c r="D171">
        <f t="shared" si="48"/>
        <v>23.145549738219891</v>
      </c>
      <c r="E171">
        <f t="shared" si="37"/>
        <v>-3.1584991806535158E-2</v>
      </c>
      <c r="G171" s="1">
        <v>45964</v>
      </c>
      <c r="H171">
        <v>408.6</v>
      </c>
      <c r="I171">
        <f t="shared" si="38"/>
        <v>9.1380587799457791E-3</v>
      </c>
      <c r="J171">
        <f t="shared" si="49"/>
        <v>30.945528692106034</v>
      </c>
      <c r="K171">
        <f t="shared" si="39"/>
        <v>8.6170807859457018E-3</v>
      </c>
      <c r="M171" s="1">
        <v>45964</v>
      </c>
      <c r="N171" s="2">
        <v>11950</v>
      </c>
      <c r="O171">
        <f t="shared" si="40"/>
        <v>2.5110906503724784E-4</v>
      </c>
      <c r="P171">
        <f t="shared" si="50"/>
        <v>16.01317042588526</v>
      </c>
      <c r="Q171">
        <f t="shared" si="41"/>
        <v>-7.1415718113276838E-4</v>
      </c>
      <c r="S171" s="1">
        <v>45964</v>
      </c>
      <c r="T171">
        <v>949.7</v>
      </c>
      <c r="U171">
        <f t="shared" si="42"/>
        <v>1.3553895410885855E-2</v>
      </c>
      <c r="V171">
        <f t="shared" si="51"/>
        <v>28.333143912487575</v>
      </c>
      <c r="W171">
        <f t="shared" si="43"/>
        <v>1.1304541035442128E-2</v>
      </c>
      <c r="Y171" s="1">
        <v>45964</v>
      </c>
      <c r="Z171" s="2">
        <v>1485.5</v>
      </c>
      <c r="AA171" s="4">
        <f t="shared" si="44"/>
        <v>2.1588072589894393E-3</v>
      </c>
      <c r="AB171">
        <f t="shared" si="52"/>
        <v>18.523493736892814</v>
      </c>
      <c r="AC171">
        <f t="shared" si="45"/>
        <v>3.2903531986347738E-3</v>
      </c>
      <c r="AE171">
        <f t="shared" si="46"/>
        <v>116.96088650559159</v>
      </c>
      <c r="AF171">
        <f t="shared" si="47"/>
        <v>-2.2022026028423181E-4</v>
      </c>
      <c r="AH171">
        <v>-1.1463876213066769E-3</v>
      </c>
      <c r="AI171">
        <v>-1.2478030214595573E-2</v>
      </c>
      <c r="AJ171">
        <v>-9.7597572442617766E-3</v>
      </c>
      <c r="AK171">
        <v>5.8684191074450786E-4</v>
      </c>
      <c r="AL171">
        <v>-6.5669411402850455E-3</v>
      </c>
    </row>
    <row r="172" spans="1:38" x14ac:dyDescent="0.3">
      <c r="A172" s="1">
        <v>45965</v>
      </c>
      <c r="B172" s="2">
        <v>1086.4000000000001</v>
      </c>
      <c r="C172">
        <f t="shared" si="36"/>
        <v>-1.701049583785736E-2</v>
      </c>
      <c r="D172">
        <f t="shared" si="48"/>
        <v>22.751832460732981</v>
      </c>
      <c r="E172">
        <f t="shared" si="37"/>
        <v>-1.8069171854918874E-2</v>
      </c>
      <c r="G172" s="1">
        <v>45965</v>
      </c>
      <c r="H172">
        <v>400.6</v>
      </c>
      <c r="I172">
        <f t="shared" si="38"/>
        <v>-1.957905041605482E-2</v>
      </c>
      <c r="J172">
        <f t="shared" si="49"/>
        <v>30.339644625691822</v>
      </c>
      <c r="K172">
        <f t="shared" si="39"/>
        <v>-2.0100028410054899E-2</v>
      </c>
      <c r="M172" s="1">
        <v>45965</v>
      </c>
      <c r="N172" s="2">
        <v>11819</v>
      </c>
      <c r="O172">
        <f t="shared" si="40"/>
        <v>-1.096234309623431E-2</v>
      </c>
      <c r="P172">
        <f t="shared" si="50"/>
        <v>15.837628557618233</v>
      </c>
      <c r="Q172">
        <f t="shared" si="41"/>
        <v>-1.1927609342404326E-2</v>
      </c>
      <c r="S172" s="1">
        <v>45965</v>
      </c>
      <c r="T172">
        <v>957.6</v>
      </c>
      <c r="U172">
        <f t="shared" si="42"/>
        <v>8.318416342002713E-3</v>
      </c>
      <c r="V172">
        <f t="shared" si="51"/>
        <v>28.568830799829527</v>
      </c>
      <c r="W172">
        <f t="shared" si="43"/>
        <v>6.0690619665589862E-3</v>
      </c>
      <c r="Y172" s="1">
        <v>45965</v>
      </c>
      <c r="Z172" s="2">
        <v>1467.9</v>
      </c>
      <c r="AA172" s="4">
        <f t="shared" si="44"/>
        <v>-1.184786267250078E-2</v>
      </c>
      <c r="AB172">
        <f t="shared" si="52"/>
        <v>18.304029926883178</v>
      </c>
      <c r="AC172">
        <f t="shared" si="45"/>
        <v>-1.0716316732855445E-2</v>
      </c>
      <c r="AE172">
        <f t="shared" si="46"/>
        <v>115.80196637075574</v>
      </c>
      <c r="AF172">
        <f t="shared" si="47"/>
        <v>-9.9086127803968971E-3</v>
      </c>
      <c r="AH172">
        <v>-3.1584991806535158E-2</v>
      </c>
      <c r="AI172">
        <v>8.6170807859457018E-3</v>
      </c>
      <c r="AJ172">
        <v>-7.1415718113276838E-4</v>
      </c>
      <c r="AK172">
        <v>1.1304541035442128E-2</v>
      </c>
      <c r="AL172">
        <v>3.2903531986347738E-3</v>
      </c>
    </row>
    <row r="173" spans="1:38" x14ac:dyDescent="0.3">
      <c r="A173" s="1">
        <v>45967</v>
      </c>
      <c r="B173" s="2">
        <v>1060.5</v>
      </c>
      <c r="C173">
        <f t="shared" si="36"/>
        <v>-2.3840206185567092E-2</v>
      </c>
      <c r="D173">
        <f t="shared" si="48"/>
        <v>22.209424083769626</v>
      </c>
      <c r="E173">
        <f t="shared" si="37"/>
        <v>-2.4898882202628606E-2</v>
      </c>
      <c r="G173" s="1">
        <v>45967</v>
      </c>
      <c r="H173">
        <v>391.75</v>
      </c>
      <c r="I173">
        <f t="shared" si="38"/>
        <v>-2.209186220669002E-2</v>
      </c>
      <c r="J173">
        <f t="shared" si="49"/>
        <v>29.669385377221094</v>
      </c>
      <c r="K173">
        <f t="shared" si="39"/>
        <v>-2.2612840200690099E-2</v>
      </c>
      <c r="M173" s="1">
        <v>45967</v>
      </c>
      <c r="N173" s="2">
        <v>11910</v>
      </c>
      <c r="O173">
        <f t="shared" si="40"/>
        <v>7.6994669599796941E-3</v>
      </c>
      <c r="P173">
        <f t="shared" si="50"/>
        <v>15.959569855422046</v>
      </c>
      <c r="Q173">
        <f t="shared" si="41"/>
        <v>6.7342007138096781E-3</v>
      </c>
      <c r="S173" s="1">
        <v>45967</v>
      </c>
      <c r="T173">
        <v>960.75</v>
      </c>
      <c r="U173">
        <f t="shared" si="42"/>
        <v>3.2894736842105023E-3</v>
      </c>
      <c r="V173">
        <f t="shared" si="51"/>
        <v>28.662807216934226</v>
      </c>
      <c r="W173">
        <f t="shared" si="43"/>
        <v>1.0401193087667755E-3</v>
      </c>
      <c r="Y173" s="1">
        <v>45967</v>
      </c>
      <c r="Z173" s="2">
        <v>1466.7</v>
      </c>
      <c r="AA173" s="4">
        <f t="shared" si="44"/>
        <v>-8.1749437972617031E-4</v>
      </c>
      <c r="AB173">
        <f t="shared" si="52"/>
        <v>18.28906648529161</v>
      </c>
      <c r="AC173">
        <f t="shared" si="45"/>
        <v>3.1405155991916418E-4</v>
      </c>
      <c r="AE173">
        <f t="shared" si="46"/>
        <v>114.79025301863859</v>
      </c>
      <c r="AF173">
        <f t="shared" si="47"/>
        <v>-8.7365818027476116E-3</v>
      </c>
      <c r="AH173">
        <v>-1.8069171854918874E-2</v>
      </c>
      <c r="AI173">
        <v>-2.0100028410054899E-2</v>
      </c>
      <c r="AJ173">
        <v>-1.1927609342404326E-2</v>
      </c>
      <c r="AK173">
        <v>6.0690619665589862E-3</v>
      </c>
      <c r="AL173">
        <v>-1.0716316732855445E-2</v>
      </c>
    </row>
    <row r="174" spans="1:38" x14ac:dyDescent="0.3">
      <c r="A174" s="1">
        <v>45968</v>
      </c>
      <c r="B174" s="2">
        <v>1059.8</v>
      </c>
      <c r="C174">
        <f t="shared" si="36"/>
        <v>-6.600660066007029E-4</v>
      </c>
      <c r="D174">
        <f t="shared" si="48"/>
        <v>22.19476439790575</v>
      </c>
      <c r="E174">
        <f t="shared" si="37"/>
        <v>-1.7187420236622181E-3</v>
      </c>
      <c r="G174" s="1">
        <v>45968</v>
      </c>
      <c r="H174">
        <v>393.2</v>
      </c>
      <c r="I174">
        <f t="shared" si="38"/>
        <v>3.7013401403956313E-3</v>
      </c>
      <c r="J174">
        <f t="shared" si="49"/>
        <v>29.779201864258667</v>
      </c>
      <c r="K174">
        <f t="shared" si="39"/>
        <v>3.1803621463955536E-3</v>
      </c>
      <c r="M174" s="1">
        <v>45968</v>
      </c>
      <c r="N174" s="2">
        <v>11849</v>
      </c>
      <c r="O174">
        <f t="shared" si="40"/>
        <v>-5.1217464315701094E-3</v>
      </c>
      <c r="P174">
        <f t="shared" si="50"/>
        <v>15.877828985465644</v>
      </c>
      <c r="Q174">
        <f t="shared" si="41"/>
        <v>-6.0870126777401255E-3</v>
      </c>
      <c r="S174" s="1">
        <v>45968</v>
      </c>
      <c r="T174">
        <v>955.85</v>
      </c>
      <c r="U174">
        <f t="shared" si="42"/>
        <v>-5.1001821493624538E-3</v>
      </c>
      <c r="V174">
        <f t="shared" si="51"/>
        <v>28.516621679215799</v>
      </c>
      <c r="W174">
        <f t="shared" si="43"/>
        <v>-7.3495365248061805E-3</v>
      </c>
      <c r="Y174" s="1">
        <v>45968</v>
      </c>
      <c r="Z174" s="2">
        <v>1476.8</v>
      </c>
      <c r="AA174" s="4">
        <f t="shared" si="44"/>
        <v>6.8862071316560369E-3</v>
      </c>
      <c r="AB174">
        <f t="shared" si="52"/>
        <v>18.415008785353955</v>
      </c>
      <c r="AC174">
        <f t="shared" si="45"/>
        <v>8.0177530713013718E-3</v>
      </c>
      <c r="AE174">
        <f t="shared" si="46"/>
        <v>114.7834257121998</v>
      </c>
      <c r="AF174">
        <f t="shared" si="47"/>
        <v>-5.9476360224408609E-5</v>
      </c>
      <c r="AH174">
        <v>-2.4898882202628606E-2</v>
      </c>
      <c r="AI174">
        <v>-2.2612840200690099E-2</v>
      </c>
      <c r="AJ174">
        <v>6.7342007138096781E-3</v>
      </c>
      <c r="AK174">
        <v>1.0401193087667755E-3</v>
      </c>
      <c r="AL174">
        <v>3.1405155991916418E-4</v>
      </c>
    </row>
    <row r="175" spans="1:38" x14ac:dyDescent="0.3">
      <c r="A175" s="1">
        <v>45971</v>
      </c>
      <c r="B175" s="2">
        <v>1041.3</v>
      </c>
      <c r="C175">
        <f t="shared" si="36"/>
        <v>-1.7456123796942821E-2</v>
      </c>
      <c r="D175">
        <f t="shared" si="48"/>
        <v>21.807329842931928</v>
      </c>
      <c r="E175">
        <f t="shared" si="37"/>
        <v>-1.8514799814004335E-2</v>
      </c>
      <c r="G175" s="1">
        <v>45971</v>
      </c>
      <c r="H175">
        <v>395.85</v>
      </c>
      <c r="I175">
        <f t="shared" si="38"/>
        <v>6.7395727365209416E-3</v>
      </c>
      <c r="J175">
        <f t="shared" si="49"/>
        <v>29.979900961258377</v>
      </c>
      <c r="K175">
        <f t="shared" si="39"/>
        <v>6.2185947425208634E-3</v>
      </c>
      <c r="M175" s="1">
        <v>45971</v>
      </c>
      <c r="N175" s="2">
        <v>11728</v>
      </c>
      <c r="O175">
        <f t="shared" si="40"/>
        <v>-1.021183222212845E-2</v>
      </c>
      <c r="P175">
        <f t="shared" si="50"/>
        <v>15.715687259814421</v>
      </c>
      <c r="Q175">
        <f t="shared" si="41"/>
        <v>-1.1177098468298466E-2</v>
      </c>
      <c r="S175" s="1">
        <v>45971</v>
      </c>
      <c r="T175">
        <v>951.15</v>
      </c>
      <c r="U175">
        <f t="shared" si="42"/>
        <v>-4.9170895014908674E-3</v>
      </c>
      <c r="V175">
        <f t="shared" si="51"/>
        <v>28.376402898138942</v>
      </c>
      <c r="W175">
        <f t="shared" si="43"/>
        <v>-7.1664438769345942E-3</v>
      </c>
      <c r="Y175" s="1">
        <v>45971</v>
      </c>
      <c r="Z175" s="2">
        <v>1513.5</v>
      </c>
      <c r="AA175" s="4">
        <f t="shared" si="44"/>
        <v>2.4851029252437734E-2</v>
      </c>
      <c r="AB175">
        <f t="shared" si="52"/>
        <v>18.872640707362685</v>
      </c>
      <c r="AC175">
        <f t="shared" si="45"/>
        <v>2.5982575192083069E-2</v>
      </c>
      <c r="AE175">
        <f t="shared" si="46"/>
        <v>114.75196166950636</v>
      </c>
      <c r="AF175">
        <f t="shared" si="47"/>
        <v>-2.7411660262111059E-4</v>
      </c>
      <c r="AH175">
        <v>-1.7187420236622181E-3</v>
      </c>
      <c r="AI175">
        <v>3.1803621463955536E-3</v>
      </c>
      <c r="AJ175">
        <v>-6.0870126777401255E-3</v>
      </c>
      <c r="AK175">
        <v>-7.3495365248061805E-3</v>
      </c>
      <c r="AL175">
        <v>8.0177530713013718E-3</v>
      </c>
    </row>
    <row r="176" spans="1:38" x14ac:dyDescent="0.3">
      <c r="A176" s="1">
        <v>45972</v>
      </c>
      <c r="B176" s="2">
        <v>1044.2</v>
      </c>
      <c r="C176">
        <f t="shared" si="36"/>
        <v>2.7849803130702883E-3</v>
      </c>
      <c r="D176">
        <f t="shared" si="48"/>
        <v>21.868062827225128</v>
      </c>
      <c r="E176">
        <f t="shared" si="37"/>
        <v>1.7263042960087732E-3</v>
      </c>
      <c r="G176" s="1">
        <v>45972</v>
      </c>
      <c r="H176">
        <v>395.6</v>
      </c>
      <c r="I176">
        <f t="shared" si="38"/>
        <v>-6.3155235569028665E-4</v>
      </c>
      <c r="J176">
        <f t="shared" si="49"/>
        <v>29.960967084182933</v>
      </c>
      <c r="K176">
        <f t="shared" si="39"/>
        <v>-1.1525303496903645E-3</v>
      </c>
      <c r="M176" s="1">
        <v>45972</v>
      </c>
      <c r="N176" s="2">
        <v>11825</v>
      </c>
      <c r="O176">
        <f t="shared" si="40"/>
        <v>8.270804911323329E-3</v>
      </c>
      <c r="P176">
        <f t="shared" si="50"/>
        <v>15.845668643187716</v>
      </c>
      <c r="Q176">
        <f t="shared" si="41"/>
        <v>7.3055386651533129E-3</v>
      </c>
      <c r="S176" s="1">
        <v>45972</v>
      </c>
      <c r="T176">
        <v>953.3</v>
      </c>
      <c r="U176">
        <f t="shared" si="42"/>
        <v>2.2604215949113991E-3</v>
      </c>
      <c r="V176">
        <f t="shared" si="51"/>
        <v>28.440545532035799</v>
      </c>
      <c r="W176">
        <f t="shared" si="43"/>
        <v>1.1067219467672355E-5</v>
      </c>
      <c r="Y176" s="1">
        <v>45972</v>
      </c>
      <c r="Z176" s="2">
        <v>1530.3</v>
      </c>
      <c r="AA176" s="4">
        <f t="shared" si="44"/>
        <v>1.1100099108027721E-2</v>
      </c>
      <c r="AB176">
        <f t="shared" si="52"/>
        <v>19.082128889644608</v>
      </c>
      <c r="AC176">
        <f t="shared" si="45"/>
        <v>1.2231645047673056E-2</v>
      </c>
      <c r="AE176">
        <f t="shared" si="46"/>
        <v>115.19737297627618</v>
      </c>
      <c r="AF176">
        <f t="shared" si="47"/>
        <v>3.8815136603298495E-3</v>
      </c>
      <c r="AH176">
        <v>-1.8514799814004335E-2</v>
      </c>
      <c r="AI176">
        <v>6.2185947425208634E-3</v>
      </c>
      <c r="AJ176">
        <v>-1.1177098468298466E-2</v>
      </c>
      <c r="AK176">
        <v>-7.1664438769345942E-3</v>
      </c>
      <c r="AL176">
        <v>2.5982575192083069E-2</v>
      </c>
    </row>
    <row r="177" spans="1:38" x14ac:dyDescent="0.3">
      <c r="A177" s="1">
        <v>45973</v>
      </c>
      <c r="B177" s="2">
        <v>1070.8</v>
      </c>
      <c r="C177">
        <f t="shared" si="36"/>
        <v>2.5474047117410369E-2</v>
      </c>
      <c r="D177">
        <f t="shared" si="48"/>
        <v>22.425130890052351</v>
      </c>
      <c r="E177">
        <f t="shared" si="37"/>
        <v>2.4415371100348852E-2</v>
      </c>
      <c r="G177" s="1">
        <v>45973</v>
      </c>
      <c r="H177">
        <v>388.65</v>
      </c>
      <c r="I177">
        <f t="shared" si="38"/>
        <v>-1.7568250758341872E-2</v>
      </c>
      <c r="J177">
        <f t="shared" si="49"/>
        <v>29.434605301485579</v>
      </c>
      <c r="K177">
        <f t="shared" si="39"/>
        <v>-1.8089228752341951E-2</v>
      </c>
      <c r="M177" s="1">
        <v>45973</v>
      </c>
      <c r="N177" s="2">
        <v>11921</v>
      </c>
      <c r="O177">
        <f t="shared" si="40"/>
        <v>8.1183932346723039E-3</v>
      </c>
      <c r="P177">
        <f t="shared" si="50"/>
        <v>15.97431001229943</v>
      </c>
      <c r="Q177">
        <f t="shared" si="41"/>
        <v>7.1531269885022879E-3</v>
      </c>
      <c r="S177" s="1">
        <v>45973</v>
      </c>
      <c r="T177">
        <v>957.15</v>
      </c>
      <c r="U177">
        <f t="shared" si="42"/>
        <v>4.0386027483478686E-3</v>
      </c>
      <c r="V177">
        <f t="shared" si="51"/>
        <v>28.555405597385992</v>
      </c>
      <c r="W177">
        <f t="shared" si="43"/>
        <v>1.7892483729041418E-3</v>
      </c>
      <c r="Y177" s="1">
        <v>45973</v>
      </c>
      <c r="Z177" s="2">
        <v>1551.7</v>
      </c>
      <c r="AA177" s="4">
        <f t="shared" si="44"/>
        <v>1.3984186107299281E-2</v>
      </c>
      <c r="AB177">
        <f t="shared" si="52"/>
        <v>19.34897693136087</v>
      </c>
      <c r="AC177">
        <f t="shared" si="45"/>
        <v>1.5115732046944616E-2</v>
      </c>
      <c r="AE177">
        <f t="shared" si="46"/>
        <v>115.73842873258423</v>
      </c>
      <c r="AF177">
        <f t="shared" si="47"/>
        <v>4.6967716565851081E-3</v>
      </c>
      <c r="AH177">
        <v>1.7263042960087732E-3</v>
      </c>
      <c r="AI177">
        <v>-1.1525303496903645E-3</v>
      </c>
      <c r="AJ177">
        <v>7.3055386651533129E-3</v>
      </c>
      <c r="AK177">
        <v>1.1067219467672355E-5</v>
      </c>
      <c r="AL177">
        <v>1.2231645047673056E-2</v>
      </c>
    </row>
    <row r="178" spans="1:38" x14ac:dyDescent="0.3">
      <c r="A178" s="1">
        <v>45974</v>
      </c>
      <c r="B178" s="2">
        <v>1076.8</v>
      </c>
      <c r="C178">
        <f t="shared" si="36"/>
        <v>5.6032872618602915E-3</v>
      </c>
      <c r="D178">
        <f t="shared" si="48"/>
        <v>22.550785340314132</v>
      </c>
      <c r="E178">
        <f t="shared" si="37"/>
        <v>4.5446112447987764E-3</v>
      </c>
      <c r="G178" s="1">
        <v>45974</v>
      </c>
      <c r="H178">
        <v>388.8</v>
      </c>
      <c r="I178">
        <f t="shared" si="38"/>
        <v>3.8595137012745174E-4</v>
      </c>
      <c r="J178">
        <f t="shared" si="49"/>
        <v>29.445965627730846</v>
      </c>
      <c r="K178">
        <f t="shared" si="39"/>
        <v>-1.3502662387262598E-4</v>
      </c>
      <c r="M178" s="1">
        <v>45974</v>
      </c>
      <c r="N178" s="2">
        <v>11934</v>
      </c>
      <c r="O178">
        <f t="shared" si="40"/>
        <v>1.0905125408942203E-3</v>
      </c>
      <c r="P178">
        <f t="shared" si="50"/>
        <v>15.991730197699974</v>
      </c>
      <c r="Q178">
        <f t="shared" si="41"/>
        <v>1.2524629472420411E-4</v>
      </c>
      <c r="S178" s="1">
        <v>45974</v>
      </c>
      <c r="T178">
        <v>954</v>
      </c>
      <c r="U178">
        <f t="shared" si="42"/>
        <v>-3.291020216267019E-3</v>
      </c>
      <c r="V178">
        <f t="shared" si="51"/>
        <v>28.461429180281289</v>
      </c>
      <c r="W178">
        <f t="shared" si="43"/>
        <v>-5.5403745917107453E-3</v>
      </c>
      <c r="Y178" s="1">
        <v>45974</v>
      </c>
      <c r="Z178" s="2">
        <v>1541.8</v>
      </c>
      <c r="AA178" s="4">
        <f t="shared" si="44"/>
        <v>-6.3800992459883297E-3</v>
      </c>
      <c r="AB178">
        <f t="shared" si="52"/>
        <v>19.225528538230449</v>
      </c>
      <c r="AC178">
        <f t="shared" si="45"/>
        <v>-5.2485533063429957E-3</v>
      </c>
      <c r="AE178">
        <f t="shared" si="46"/>
        <v>115.67543888425669</v>
      </c>
      <c r="AF178">
        <f t="shared" si="47"/>
        <v>-5.4424316121548522E-4</v>
      </c>
      <c r="AH178">
        <v>2.4415371100348852E-2</v>
      </c>
      <c r="AI178">
        <v>-1.8089228752341951E-2</v>
      </c>
      <c r="AJ178">
        <v>7.1531269885022879E-3</v>
      </c>
      <c r="AK178">
        <v>1.7892483729041418E-3</v>
      </c>
      <c r="AL178">
        <v>1.5115732046944616E-2</v>
      </c>
    </row>
    <row r="179" spans="1:38" x14ac:dyDescent="0.3">
      <c r="A179" s="1">
        <v>45975</v>
      </c>
      <c r="B179" s="2">
        <v>1068.8</v>
      </c>
      <c r="C179">
        <f t="shared" si="36"/>
        <v>-7.4294205052005948E-3</v>
      </c>
      <c r="D179">
        <f t="shared" si="48"/>
        <v>22.383246073298427</v>
      </c>
      <c r="E179">
        <f t="shared" si="37"/>
        <v>-8.4880965222621091E-3</v>
      </c>
      <c r="G179" s="1">
        <v>45975</v>
      </c>
      <c r="H179">
        <v>388.4</v>
      </c>
      <c r="I179">
        <f t="shared" si="38"/>
        <v>-1.0288065843622276E-3</v>
      </c>
      <c r="J179">
        <f t="shared" si="49"/>
        <v>29.415671424410132</v>
      </c>
      <c r="K179">
        <f t="shared" si="39"/>
        <v>-1.5497845783623053E-3</v>
      </c>
      <c r="M179" s="1">
        <v>45975</v>
      </c>
      <c r="N179" s="2">
        <v>11874</v>
      </c>
      <c r="O179">
        <f t="shared" si="40"/>
        <v>-5.0276520864756162E-3</v>
      </c>
      <c r="P179">
        <f t="shared" si="50"/>
        <v>15.911329342005153</v>
      </c>
      <c r="Q179">
        <f t="shared" si="41"/>
        <v>-5.9929183326456322E-3</v>
      </c>
      <c r="S179" s="1">
        <v>45975</v>
      </c>
      <c r="T179">
        <v>967.85</v>
      </c>
      <c r="U179">
        <f t="shared" si="42"/>
        <v>1.4517819706498975E-2</v>
      </c>
      <c r="V179">
        <f t="shared" si="51"/>
        <v>28.874627077709903</v>
      </c>
      <c r="W179">
        <f t="shared" si="43"/>
        <v>1.2268465331055248E-2</v>
      </c>
      <c r="Y179" s="1">
        <v>45975</v>
      </c>
      <c r="Z179" s="2">
        <v>1502.8</v>
      </c>
      <c r="AA179" s="4">
        <f t="shared" si="44"/>
        <v>-2.5295109612141653E-2</v>
      </c>
      <c r="AB179">
        <f t="shared" si="52"/>
        <v>18.739216686504552</v>
      </c>
      <c r="AC179">
        <f t="shared" si="45"/>
        <v>-2.4163563672496318E-2</v>
      </c>
      <c r="AE179">
        <f t="shared" si="46"/>
        <v>115.32409060392816</v>
      </c>
      <c r="AF179">
        <f t="shared" si="47"/>
        <v>-3.0373628465770741E-3</v>
      </c>
      <c r="AH179">
        <v>4.5446112447987764E-3</v>
      </c>
      <c r="AI179">
        <v>-1.3502662387262598E-4</v>
      </c>
      <c r="AJ179">
        <v>1.2524629472420411E-4</v>
      </c>
      <c r="AK179">
        <v>-5.5403745917107453E-3</v>
      </c>
      <c r="AL179">
        <v>-5.2485533063429957E-3</v>
      </c>
    </row>
    <row r="180" spans="1:38" x14ac:dyDescent="0.3">
      <c r="A180" s="1">
        <v>45978</v>
      </c>
      <c r="B180" s="2">
        <v>1088.5999999999999</v>
      </c>
      <c r="C180">
        <f t="shared" si="36"/>
        <v>1.8525449101796366E-2</v>
      </c>
      <c r="D180">
        <f t="shared" si="48"/>
        <v>22.797905759162298</v>
      </c>
      <c r="E180">
        <f t="shared" si="37"/>
        <v>1.7466773084734849E-2</v>
      </c>
      <c r="G180" s="1">
        <v>45978</v>
      </c>
      <c r="H180">
        <v>392.75</v>
      </c>
      <c r="I180">
        <f t="shared" si="38"/>
        <v>1.1199794026776578E-2</v>
      </c>
      <c r="J180">
        <f t="shared" si="49"/>
        <v>29.745120885522862</v>
      </c>
      <c r="K180">
        <f t="shared" si="39"/>
        <v>1.0678816032776501E-2</v>
      </c>
      <c r="M180" s="1">
        <v>45978</v>
      </c>
      <c r="N180" s="2">
        <v>11778</v>
      </c>
      <c r="O180">
        <f t="shared" si="40"/>
        <v>-8.0848913592723604E-3</v>
      </c>
      <c r="P180">
        <f t="shared" si="50"/>
        <v>15.78268797289344</v>
      </c>
      <c r="Q180">
        <f t="shared" si="41"/>
        <v>-9.0501576054423764E-3</v>
      </c>
      <c r="S180" s="1">
        <v>45978</v>
      </c>
      <c r="T180">
        <v>973.35</v>
      </c>
      <c r="U180">
        <f t="shared" si="42"/>
        <v>5.682698765304541E-3</v>
      </c>
      <c r="V180">
        <f t="shared" si="51"/>
        <v>29.038712885353032</v>
      </c>
      <c r="W180">
        <f t="shared" si="43"/>
        <v>3.4333443898608143E-3</v>
      </c>
      <c r="Y180" s="1">
        <v>45978</v>
      </c>
      <c r="Z180" s="2">
        <v>1507.6</v>
      </c>
      <c r="AA180" s="4">
        <f t="shared" si="44"/>
        <v>3.1940377961138904E-3</v>
      </c>
      <c r="AB180">
        <f t="shared" si="52"/>
        <v>18.799070452870815</v>
      </c>
      <c r="AC180">
        <f t="shared" si="45"/>
        <v>4.3255837357592253E-3</v>
      </c>
      <c r="AE180">
        <f t="shared" si="46"/>
        <v>116.16349795580246</v>
      </c>
      <c r="AF180">
        <f t="shared" si="47"/>
        <v>7.2786817349133059E-3</v>
      </c>
      <c r="AH180">
        <v>-8.4880965222621091E-3</v>
      </c>
      <c r="AI180">
        <v>-1.5497845783623053E-3</v>
      </c>
      <c r="AJ180">
        <v>-5.9929183326456322E-3</v>
      </c>
      <c r="AK180">
        <v>1.2268465331055248E-2</v>
      </c>
      <c r="AL180">
        <v>-2.4163563672496318E-2</v>
      </c>
    </row>
    <row r="181" spans="1:38" x14ac:dyDescent="0.3">
      <c r="A181" s="1">
        <v>45979</v>
      </c>
      <c r="B181" s="2">
        <v>1088.5999999999999</v>
      </c>
      <c r="C181">
        <f t="shared" si="36"/>
        <v>0</v>
      </c>
      <c r="D181">
        <f t="shared" si="48"/>
        <v>22.797905759162298</v>
      </c>
      <c r="E181">
        <f t="shared" si="37"/>
        <v>-1.0586760170615151E-3</v>
      </c>
      <c r="G181" s="1">
        <v>45979</v>
      </c>
      <c r="H181">
        <v>386.25</v>
      </c>
      <c r="I181">
        <f t="shared" si="38"/>
        <v>-1.6549968173138127E-2</v>
      </c>
      <c r="J181">
        <f t="shared" si="49"/>
        <v>29.252840081561313</v>
      </c>
      <c r="K181">
        <f t="shared" si="39"/>
        <v>-1.7070946167138206E-2</v>
      </c>
      <c r="M181" s="1">
        <v>45979</v>
      </c>
      <c r="N181" s="2">
        <v>11707</v>
      </c>
      <c r="O181">
        <f t="shared" si="40"/>
        <v>-6.0281881473934458E-3</v>
      </c>
      <c r="P181">
        <f t="shared" si="50"/>
        <v>15.687546960321233</v>
      </c>
      <c r="Q181">
        <f t="shared" si="41"/>
        <v>-6.9934543935634618E-3</v>
      </c>
      <c r="S181" s="1">
        <v>45979</v>
      </c>
      <c r="T181">
        <v>973.35</v>
      </c>
      <c r="U181">
        <f t="shared" si="42"/>
        <v>0</v>
      </c>
      <c r="V181">
        <f t="shared" si="51"/>
        <v>29.038712885353032</v>
      </c>
      <c r="W181">
        <f t="shared" si="43"/>
        <v>-2.2493543754437267E-3</v>
      </c>
      <c r="Y181" s="1">
        <v>45979</v>
      </c>
      <c r="Z181" s="2">
        <v>1486.4</v>
      </c>
      <c r="AA181" s="4">
        <f t="shared" si="44"/>
        <v>-1.4062085433801949E-2</v>
      </c>
      <c r="AB181">
        <f t="shared" si="52"/>
        <v>18.534716318086485</v>
      </c>
      <c r="AC181">
        <f t="shared" si="45"/>
        <v>-1.2930539494156615E-2</v>
      </c>
      <c r="AE181">
        <f t="shared" si="46"/>
        <v>115.31172200448435</v>
      </c>
      <c r="AF181">
        <f t="shared" si="47"/>
        <v>-7.3325611427625947E-3</v>
      </c>
      <c r="AH181">
        <v>1.7466773084734849E-2</v>
      </c>
      <c r="AI181">
        <v>1.0678816032776501E-2</v>
      </c>
      <c r="AJ181">
        <v>-9.0501576054423764E-3</v>
      </c>
      <c r="AK181">
        <v>3.4333443898608143E-3</v>
      </c>
      <c r="AL181">
        <v>4.3255837357592253E-3</v>
      </c>
    </row>
    <row r="182" spans="1:38" x14ac:dyDescent="0.3">
      <c r="A182" s="1">
        <v>45980</v>
      </c>
      <c r="B182" s="2">
        <v>1069.9000000000001</v>
      </c>
      <c r="C182">
        <f t="shared" si="36"/>
        <v>-1.7178026823442789E-2</v>
      </c>
      <c r="D182">
        <f t="shared" si="48"/>
        <v>22.406282722513087</v>
      </c>
      <c r="E182">
        <f t="shared" si="37"/>
        <v>-1.8236702840504306E-2</v>
      </c>
      <c r="G182" s="1">
        <v>45980</v>
      </c>
      <c r="H182">
        <v>389.1</v>
      </c>
      <c r="I182">
        <f t="shared" si="38"/>
        <v>7.3786407766990884E-3</v>
      </c>
      <c r="J182">
        <f t="shared" si="49"/>
        <v>29.46868628022138</v>
      </c>
      <c r="K182">
        <f t="shared" si="39"/>
        <v>6.8576627826990103E-3</v>
      </c>
      <c r="M182" s="1">
        <v>45980</v>
      </c>
      <c r="N182" s="2">
        <v>11666</v>
      </c>
      <c r="O182">
        <f t="shared" si="40"/>
        <v>-3.502178183992483E-3</v>
      </c>
      <c r="P182">
        <f t="shared" si="50"/>
        <v>15.632606375596438</v>
      </c>
      <c r="Q182">
        <f t="shared" si="41"/>
        <v>-4.4674444301624995E-3</v>
      </c>
      <c r="S182" s="1">
        <v>45980</v>
      </c>
      <c r="T182">
        <v>982.75</v>
      </c>
      <c r="U182">
        <f t="shared" si="42"/>
        <v>9.6573688806698282E-3</v>
      </c>
      <c r="V182">
        <f t="shared" si="51"/>
        <v>29.319150447506747</v>
      </c>
      <c r="W182">
        <f t="shared" si="43"/>
        <v>7.4080145052261015E-3</v>
      </c>
      <c r="Y182" s="1">
        <v>45980</v>
      </c>
      <c r="Z182" s="2">
        <v>1541.1</v>
      </c>
      <c r="AA182" s="4">
        <f t="shared" si="44"/>
        <v>3.6800322927879318E-2</v>
      </c>
      <c r="AB182">
        <f t="shared" si="52"/>
        <v>19.216799863968699</v>
      </c>
      <c r="AC182">
        <f t="shared" si="45"/>
        <v>3.793186886752465E-2</v>
      </c>
      <c r="AE182">
        <f t="shared" si="46"/>
        <v>116.04352568980634</v>
      </c>
      <c r="AF182">
        <f t="shared" si="47"/>
        <v>6.3463078393151129E-3</v>
      </c>
      <c r="AH182">
        <v>-1.0586760170615151E-3</v>
      </c>
      <c r="AI182">
        <v>-1.7070946167138206E-2</v>
      </c>
      <c r="AJ182">
        <v>-6.9934543935634618E-3</v>
      </c>
      <c r="AK182">
        <v>-2.2493543754437267E-3</v>
      </c>
      <c r="AL182">
        <v>-1.2930539494156615E-2</v>
      </c>
    </row>
    <row r="183" spans="1:38" x14ac:dyDescent="0.3">
      <c r="A183" s="1">
        <v>45981</v>
      </c>
      <c r="B183" s="2">
        <v>1060</v>
      </c>
      <c r="C183">
        <f t="shared" si="36"/>
        <v>-9.2532012337602481E-3</v>
      </c>
      <c r="D183">
        <f t="shared" si="48"/>
        <v>22.198952879581146</v>
      </c>
      <c r="E183">
        <f t="shared" si="37"/>
        <v>-1.0311877250821763E-2</v>
      </c>
      <c r="G183" s="1">
        <v>45981</v>
      </c>
      <c r="H183">
        <v>388.1</v>
      </c>
      <c r="I183">
        <f t="shared" si="38"/>
        <v>-2.5700334104343356E-3</v>
      </c>
      <c r="J183">
        <f t="shared" si="49"/>
        <v>29.392950771919601</v>
      </c>
      <c r="K183">
        <f t="shared" si="39"/>
        <v>-3.0910114044344133E-3</v>
      </c>
      <c r="M183" s="1">
        <v>45981</v>
      </c>
      <c r="N183" s="2">
        <v>11753</v>
      </c>
      <c r="O183">
        <f t="shared" si="40"/>
        <v>7.4575690039430827E-3</v>
      </c>
      <c r="P183">
        <f t="shared" si="50"/>
        <v>15.749187616353931</v>
      </c>
      <c r="Q183">
        <f t="shared" si="41"/>
        <v>6.4923027577730667E-3</v>
      </c>
      <c r="S183" s="1">
        <v>45981</v>
      </c>
      <c r="T183">
        <v>981.55</v>
      </c>
      <c r="U183">
        <f t="shared" si="42"/>
        <v>-1.2210633426609468E-3</v>
      </c>
      <c r="V183">
        <f t="shared" si="51"/>
        <v>29.283349907657335</v>
      </c>
      <c r="W183">
        <f t="shared" si="43"/>
        <v>-3.4704177181046738E-3</v>
      </c>
      <c r="Y183" s="1">
        <v>45981</v>
      </c>
      <c r="Z183" s="2">
        <v>1536.5</v>
      </c>
      <c r="AA183" s="4">
        <f t="shared" si="44"/>
        <v>-2.9848809292063521E-3</v>
      </c>
      <c r="AB183">
        <f t="shared" si="52"/>
        <v>19.159440004534364</v>
      </c>
      <c r="AC183">
        <f t="shared" si="45"/>
        <v>-1.8533349895610176E-3</v>
      </c>
      <c r="AE183">
        <f t="shared" si="46"/>
        <v>115.78388118004638</v>
      </c>
      <c r="AF183">
        <f t="shared" si="47"/>
        <v>-2.2374751905936963E-3</v>
      </c>
      <c r="AH183">
        <v>-1.8236702840504306E-2</v>
      </c>
      <c r="AI183">
        <v>6.8576627826990103E-3</v>
      </c>
      <c r="AJ183">
        <v>-4.4674444301624995E-3</v>
      </c>
      <c r="AK183">
        <v>7.4080145052261015E-3</v>
      </c>
      <c r="AL183">
        <v>3.793186886752465E-2</v>
      </c>
    </row>
    <row r="184" spans="1:38" x14ac:dyDescent="0.3">
      <c r="A184" s="1">
        <v>45982</v>
      </c>
      <c r="B184" s="2">
        <v>1030.5</v>
      </c>
      <c r="C184">
        <f t="shared" si="36"/>
        <v>-2.7830188679245284E-2</v>
      </c>
      <c r="D184">
        <f t="shared" si="48"/>
        <v>21.581151832460726</v>
      </c>
      <c r="E184">
        <f t="shared" si="37"/>
        <v>-2.8888864696306797E-2</v>
      </c>
      <c r="G184" s="1">
        <v>45982</v>
      </c>
      <c r="H184">
        <v>387</v>
      </c>
      <c r="I184">
        <f t="shared" si="38"/>
        <v>-2.8343210512755028E-3</v>
      </c>
      <c r="J184">
        <f t="shared" si="49"/>
        <v>29.309641712787645</v>
      </c>
      <c r="K184">
        <f t="shared" si="39"/>
        <v>-3.3552990452755805E-3</v>
      </c>
      <c r="M184" s="1">
        <v>45982</v>
      </c>
      <c r="N184" s="2">
        <v>11729</v>
      </c>
      <c r="O184">
        <f t="shared" si="40"/>
        <v>-2.0420318216625541E-3</v>
      </c>
      <c r="P184">
        <f t="shared" si="50"/>
        <v>15.717027274076003</v>
      </c>
      <c r="Q184">
        <f t="shared" si="41"/>
        <v>-3.0072980678325706E-3</v>
      </c>
      <c r="S184" s="1">
        <v>45982</v>
      </c>
      <c r="T184">
        <v>972.6</v>
      </c>
      <c r="U184">
        <f t="shared" si="42"/>
        <v>-9.1182313687534332E-3</v>
      </c>
      <c r="V184">
        <f t="shared" si="51"/>
        <v>29.016337547947153</v>
      </c>
      <c r="W184">
        <f t="shared" si="43"/>
        <v>-1.136758574419716E-2</v>
      </c>
      <c r="Y184" s="1">
        <v>45982</v>
      </c>
      <c r="Z184" s="2">
        <v>1545</v>
      </c>
      <c r="AA184" s="4">
        <f t="shared" si="44"/>
        <v>5.5320533680442568E-3</v>
      </c>
      <c r="AB184">
        <f t="shared" si="52"/>
        <v>19.265431049141291</v>
      </c>
      <c r="AC184">
        <f t="shared" si="45"/>
        <v>6.6635993076895918E-3</v>
      </c>
      <c r="AE184">
        <f t="shared" si="46"/>
        <v>114.88958941641283</v>
      </c>
      <c r="AF184">
        <f t="shared" si="47"/>
        <v>-7.7238019188776708E-3</v>
      </c>
      <c r="AH184">
        <v>-1.0311877250821763E-2</v>
      </c>
      <c r="AI184">
        <v>-3.0910114044344133E-3</v>
      </c>
      <c r="AJ184">
        <v>6.4923027577730667E-3</v>
      </c>
      <c r="AK184">
        <v>-3.4704177181046738E-3</v>
      </c>
      <c r="AL184">
        <v>-1.8533349895610176E-3</v>
      </c>
    </row>
    <row r="185" spans="1:38" x14ac:dyDescent="0.3">
      <c r="A185" s="1">
        <v>45985</v>
      </c>
      <c r="B185" s="2">
        <v>1009.4</v>
      </c>
      <c r="C185">
        <f t="shared" si="36"/>
        <v>-2.0475497331392551E-2</v>
      </c>
      <c r="D185">
        <f t="shared" si="48"/>
        <v>21.1392670157068</v>
      </c>
      <c r="E185">
        <f t="shared" si="37"/>
        <v>-2.1534173348454068E-2</v>
      </c>
      <c r="G185" s="1">
        <v>45985</v>
      </c>
      <c r="H185">
        <v>382.55</v>
      </c>
      <c r="I185">
        <f t="shared" si="38"/>
        <v>-1.1498708010335888E-2</v>
      </c>
      <c r="J185">
        <f t="shared" si="49"/>
        <v>28.972618700844738</v>
      </c>
      <c r="K185">
        <f t="shared" si="39"/>
        <v>-1.2019686004335966E-2</v>
      </c>
      <c r="M185" s="1">
        <v>45985</v>
      </c>
      <c r="N185" s="2">
        <v>11584</v>
      </c>
      <c r="O185">
        <f t="shared" si="40"/>
        <v>-1.236252024895558E-2</v>
      </c>
      <c r="P185">
        <f t="shared" si="50"/>
        <v>15.522725206146852</v>
      </c>
      <c r="Q185">
        <f t="shared" si="41"/>
        <v>-1.3327786495125596E-2</v>
      </c>
      <c r="S185" s="1">
        <v>45985</v>
      </c>
      <c r="T185">
        <v>970.6</v>
      </c>
      <c r="U185">
        <f t="shared" si="42"/>
        <v>-2.0563438206868188E-3</v>
      </c>
      <c r="V185">
        <f t="shared" si="51"/>
        <v>28.956669981531466</v>
      </c>
      <c r="W185">
        <f t="shared" si="43"/>
        <v>-4.305698196130546E-3</v>
      </c>
      <c r="Y185" s="1">
        <v>45985</v>
      </c>
      <c r="Z185" s="2">
        <v>1548</v>
      </c>
      <c r="AA185" s="4">
        <f t="shared" si="44"/>
        <v>1.9417475728155339E-3</v>
      </c>
      <c r="AB185">
        <f t="shared" si="52"/>
        <v>19.302839653120209</v>
      </c>
      <c r="AC185">
        <f t="shared" si="45"/>
        <v>3.0732935124608684E-3</v>
      </c>
      <c r="AE185">
        <f t="shared" si="46"/>
        <v>113.89412055735008</v>
      </c>
      <c r="AF185">
        <f t="shared" si="47"/>
        <v>-8.6645697327258908E-3</v>
      </c>
      <c r="AH185">
        <v>-2.8888864696306797E-2</v>
      </c>
      <c r="AI185">
        <v>-3.3552990452755805E-3</v>
      </c>
      <c r="AJ185">
        <v>-3.0072980678325706E-3</v>
      </c>
      <c r="AK185">
        <v>-1.136758574419716E-2</v>
      </c>
      <c r="AL185">
        <v>6.6635993076895918E-3</v>
      </c>
    </row>
    <row r="186" spans="1:38" x14ac:dyDescent="0.3">
      <c r="A186" s="1">
        <v>45986</v>
      </c>
      <c r="B186" s="2">
        <v>1011.6</v>
      </c>
      <c r="C186">
        <f t="shared" si="36"/>
        <v>2.1795125817317671E-3</v>
      </c>
      <c r="D186">
        <f t="shared" si="48"/>
        <v>21.185340314136116</v>
      </c>
      <c r="E186">
        <f t="shared" si="37"/>
        <v>1.120836564670252E-3</v>
      </c>
      <c r="G186" s="1">
        <v>45986</v>
      </c>
      <c r="H186">
        <v>380</v>
      </c>
      <c r="I186">
        <f t="shared" si="38"/>
        <v>-6.6657953208731184E-3</v>
      </c>
      <c r="J186">
        <f t="shared" si="49"/>
        <v>28.779493154675208</v>
      </c>
      <c r="K186">
        <f t="shared" si="39"/>
        <v>-7.1867733148731957E-3</v>
      </c>
      <c r="M186" s="1">
        <v>45986</v>
      </c>
      <c r="N186" s="2">
        <v>11580</v>
      </c>
      <c r="O186">
        <f t="shared" si="40"/>
        <v>-3.453038674033149E-4</v>
      </c>
      <c r="P186">
        <f t="shared" si="50"/>
        <v>15.517365149100531</v>
      </c>
      <c r="Q186">
        <f t="shared" si="41"/>
        <v>-1.3105701135733311E-3</v>
      </c>
      <c r="S186" s="1">
        <v>45986</v>
      </c>
      <c r="T186">
        <v>983.6</v>
      </c>
      <c r="U186">
        <f t="shared" si="42"/>
        <v>1.3393777045126726E-2</v>
      </c>
      <c r="V186">
        <f t="shared" si="51"/>
        <v>29.344509163233411</v>
      </c>
      <c r="W186">
        <f t="shared" si="43"/>
        <v>1.1144422669682999E-2</v>
      </c>
      <c r="Y186" s="1">
        <v>45986</v>
      </c>
      <c r="Z186" s="2">
        <v>1530.6</v>
      </c>
      <c r="AA186" s="4">
        <f t="shared" si="44"/>
        <v>-1.1240310077519439E-2</v>
      </c>
      <c r="AB186">
        <f t="shared" si="52"/>
        <v>19.085869750042498</v>
      </c>
      <c r="AC186">
        <f t="shared" si="45"/>
        <v>-1.0108764137874104E-2</v>
      </c>
      <c r="AE186">
        <f t="shared" si="46"/>
        <v>113.91257753118776</v>
      </c>
      <c r="AF186">
        <f t="shared" si="47"/>
        <v>1.6205378949640803E-4</v>
      </c>
      <c r="AH186">
        <v>-2.1534173348454068E-2</v>
      </c>
      <c r="AI186">
        <v>-1.2019686004335966E-2</v>
      </c>
      <c r="AJ186">
        <v>-1.3327786495125596E-2</v>
      </c>
      <c r="AK186">
        <v>-4.305698196130546E-3</v>
      </c>
      <c r="AL186">
        <v>3.0732935124608684E-3</v>
      </c>
    </row>
    <row r="187" spans="1:38" x14ac:dyDescent="0.3">
      <c r="A187" s="1">
        <v>45987</v>
      </c>
      <c r="B187" s="2">
        <v>1034.4000000000001</v>
      </c>
      <c r="C187">
        <f t="shared" si="36"/>
        <v>2.2538552787663174E-2</v>
      </c>
      <c r="D187">
        <f t="shared" si="48"/>
        <v>21.662827225130883</v>
      </c>
      <c r="E187">
        <f t="shared" si="37"/>
        <v>2.1479876770601661E-2</v>
      </c>
      <c r="G187" s="1">
        <v>45987</v>
      </c>
      <c r="H187">
        <v>391.5</v>
      </c>
      <c r="I187">
        <f t="shared" si="38"/>
        <v>3.0263157894736843E-2</v>
      </c>
      <c r="J187">
        <f t="shared" si="49"/>
        <v>29.650451500145639</v>
      </c>
      <c r="K187">
        <f t="shared" si="39"/>
        <v>2.9742179900736763E-2</v>
      </c>
      <c r="M187" s="1">
        <v>45987</v>
      </c>
      <c r="N187" s="2">
        <v>11759</v>
      </c>
      <c r="O187">
        <f t="shared" si="40"/>
        <v>1.545768566493955E-2</v>
      </c>
      <c r="P187">
        <f t="shared" si="50"/>
        <v>15.757227701923414</v>
      </c>
      <c r="Q187">
        <f t="shared" si="41"/>
        <v>1.4492419418769534E-2</v>
      </c>
      <c r="S187" s="1">
        <v>45987</v>
      </c>
      <c r="T187">
        <v>983.9</v>
      </c>
      <c r="U187">
        <f t="shared" si="42"/>
        <v>3.0500203334684272E-4</v>
      </c>
      <c r="V187">
        <f t="shared" si="51"/>
        <v>29.353459298195762</v>
      </c>
      <c r="W187">
        <f t="shared" si="43"/>
        <v>-1.9443523420968841E-3</v>
      </c>
      <c r="Y187" s="1">
        <v>45987</v>
      </c>
      <c r="Z187" s="2">
        <v>1557.9</v>
      </c>
      <c r="AA187" s="4">
        <f t="shared" si="44"/>
        <v>1.7836142689141632E-2</v>
      </c>
      <c r="AB187">
        <f t="shared" si="52"/>
        <v>19.426288046250626</v>
      </c>
      <c r="AC187">
        <f t="shared" si="45"/>
        <v>1.8967688628786967E-2</v>
      </c>
      <c r="AE187">
        <f t="shared" si="46"/>
        <v>115.85025377164632</v>
      </c>
      <c r="AF187">
        <f t="shared" si="47"/>
        <v>1.7010204513439708E-2</v>
      </c>
      <c r="AH187">
        <v>1.120836564670252E-3</v>
      </c>
      <c r="AI187">
        <v>-7.1867733148731957E-3</v>
      </c>
      <c r="AJ187">
        <v>-1.3105701135733311E-3</v>
      </c>
      <c r="AK187">
        <v>1.1144422669682999E-2</v>
      </c>
      <c r="AL187">
        <v>-1.0108764137874104E-2</v>
      </c>
    </row>
    <row r="188" spans="1:38" x14ac:dyDescent="0.3">
      <c r="A188" s="1">
        <v>45988</v>
      </c>
      <c r="B188" s="2">
        <v>1031.0999999999999</v>
      </c>
      <c r="C188">
        <f t="shared" si="36"/>
        <v>-3.1902552204178089E-3</v>
      </c>
      <c r="D188">
        <f t="shared" si="48"/>
        <v>21.593717277486899</v>
      </c>
      <c r="E188">
        <f t="shared" si="37"/>
        <v>-4.2489312374793236E-3</v>
      </c>
      <c r="G188" s="1">
        <v>45988</v>
      </c>
      <c r="H188">
        <v>392.05</v>
      </c>
      <c r="I188">
        <f t="shared" si="38"/>
        <v>1.404853128991089E-3</v>
      </c>
      <c r="J188">
        <f t="shared" si="49"/>
        <v>29.692106029711621</v>
      </c>
      <c r="K188">
        <f t="shared" si="39"/>
        <v>8.8387513499101132E-4</v>
      </c>
      <c r="M188" s="1">
        <v>45988</v>
      </c>
      <c r="N188" s="2">
        <v>11617</v>
      </c>
      <c r="O188">
        <f t="shared" si="40"/>
        <v>-1.2075856790543413E-2</v>
      </c>
      <c r="P188">
        <f t="shared" si="50"/>
        <v>15.566945676779003</v>
      </c>
      <c r="Q188">
        <f t="shared" si="41"/>
        <v>-1.3041123036713429E-2</v>
      </c>
      <c r="S188" s="1">
        <v>45988</v>
      </c>
      <c r="T188">
        <v>972.85</v>
      </c>
      <c r="U188">
        <f t="shared" si="42"/>
        <v>-1.1230816139851565E-2</v>
      </c>
      <c r="V188">
        <f t="shared" si="51"/>
        <v>29.023795993749111</v>
      </c>
      <c r="W188">
        <f t="shared" si="43"/>
        <v>-1.3480170515295292E-2</v>
      </c>
      <c r="Y188" s="1">
        <v>45988</v>
      </c>
      <c r="Z188" s="2">
        <v>1566.4</v>
      </c>
      <c r="AA188" s="4">
        <f t="shared" si="44"/>
        <v>5.4560626484369979E-3</v>
      </c>
      <c r="AB188">
        <f t="shared" si="52"/>
        <v>19.532279090857553</v>
      </c>
      <c r="AC188">
        <f t="shared" si="45"/>
        <v>6.5876085880823328E-3</v>
      </c>
      <c r="AE188">
        <f t="shared" si="46"/>
        <v>115.40884406858419</v>
      </c>
      <c r="AF188">
        <f t="shared" si="47"/>
        <v>-3.810174675423661E-3</v>
      </c>
      <c r="AH188">
        <v>2.1479876770601661E-2</v>
      </c>
      <c r="AI188">
        <v>2.9742179900736763E-2</v>
      </c>
      <c r="AJ188">
        <v>1.4492419418769534E-2</v>
      </c>
      <c r="AK188">
        <v>-1.9443523420968841E-3</v>
      </c>
      <c r="AL188">
        <v>1.8967688628786967E-2</v>
      </c>
    </row>
    <row r="189" spans="1:38" x14ac:dyDescent="0.3">
      <c r="A189" s="1">
        <v>45989</v>
      </c>
      <c r="B189" s="2">
        <v>1048.2</v>
      </c>
      <c r="C189">
        <f t="shared" si="36"/>
        <v>1.6584230433517737E-2</v>
      </c>
      <c r="D189">
        <f t="shared" si="48"/>
        <v>21.951832460732977</v>
      </c>
      <c r="E189">
        <f t="shared" si="37"/>
        <v>1.5525554416456222E-2</v>
      </c>
      <c r="G189" s="1">
        <v>45989</v>
      </c>
      <c r="H189">
        <v>390.1</v>
      </c>
      <c r="I189">
        <f t="shared" si="38"/>
        <v>-4.9738553755898189E-3</v>
      </c>
      <c r="J189">
        <f t="shared" si="49"/>
        <v>29.544421788523156</v>
      </c>
      <c r="K189">
        <f t="shared" si="39"/>
        <v>-5.4948333695898962E-3</v>
      </c>
      <c r="M189" s="1">
        <v>45989</v>
      </c>
      <c r="N189" s="2">
        <v>11600</v>
      </c>
      <c r="O189">
        <f t="shared" si="40"/>
        <v>-1.4633726435396401E-3</v>
      </c>
      <c r="P189">
        <f t="shared" si="50"/>
        <v>15.544165434332136</v>
      </c>
      <c r="Q189">
        <f t="shared" si="41"/>
        <v>-2.4286388897096561E-3</v>
      </c>
      <c r="S189" s="1">
        <v>45989</v>
      </c>
      <c r="T189">
        <v>979</v>
      </c>
      <c r="U189">
        <f t="shared" si="42"/>
        <v>6.3216323174178721E-3</v>
      </c>
      <c r="V189">
        <f t="shared" si="51"/>
        <v>29.207273760477335</v>
      </c>
      <c r="W189">
        <f t="shared" si="43"/>
        <v>4.0722779419741454E-3</v>
      </c>
      <c r="Y189" s="1">
        <v>45989</v>
      </c>
      <c r="Z189" s="2">
        <v>1560.1</v>
      </c>
      <c r="AA189" s="4">
        <f t="shared" si="44"/>
        <v>-4.0219611848826492E-3</v>
      </c>
      <c r="AB189">
        <f t="shared" si="52"/>
        <v>19.453721022501831</v>
      </c>
      <c r="AC189">
        <f t="shared" si="45"/>
        <v>-2.8904152452373147E-3</v>
      </c>
      <c r="AE189">
        <f t="shared" si="46"/>
        <v>115.70141446656743</v>
      </c>
      <c r="AF189">
        <f t="shared" si="47"/>
        <v>2.5350777953323522E-3</v>
      </c>
      <c r="AH189">
        <v>-4.2489312374793236E-3</v>
      </c>
      <c r="AI189">
        <v>8.8387513499101132E-4</v>
      </c>
      <c r="AJ189">
        <v>-1.3041123036713429E-2</v>
      </c>
      <c r="AK189">
        <v>-1.3480170515295292E-2</v>
      </c>
      <c r="AL189">
        <v>6.5876085880823328E-3</v>
      </c>
    </row>
    <row r="190" spans="1:38" x14ac:dyDescent="0.3">
      <c r="A190" s="1">
        <v>45992</v>
      </c>
      <c r="B190" s="2">
        <v>1039.5999999999999</v>
      </c>
      <c r="C190">
        <f t="shared" si="36"/>
        <v>-8.2045411181073617E-3</v>
      </c>
      <c r="D190">
        <f t="shared" si="48"/>
        <v>21.771727748691092</v>
      </c>
      <c r="E190">
        <f t="shared" si="37"/>
        <v>-9.2632171351688768E-3</v>
      </c>
      <c r="G190" s="1">
        <v>45992</v>
      </c>
      <c r="H190">
        <v>389.75</v>
      </c>
      <c r="I190">
        <f t="shared" si="38"/>
        <v>-8.9720584465527485E-4</v>
      </c>
      <c r="J190">
        <f t="shared" si="49"/>
        <v>29.517914360617532</v>
      </c>
      <c r="K190">
        <f t="shared" si="39"/>
        <v>-1.4181838386553526E-3</v>
      </c>
      <c r="M190" s="1">
        <v>45992</v>
      </c>
      <c r="N190" s="2">
        <v>11662</v>
      </c>
      <c r="O190">
        <f t="shared" si="40"/>
        <v>5.3448275862068963E-3</v>
      </c>
      <c r="P190">
        <f t="shared" si="50"/>
        <v>15.627246318550119</v>
      </c>
      <c r="Q190">
        <f t="shared" si="41"/>
        <v>4.3795613400368803E-3</v>
      </c>
      <c r="S190" s="1">
        <v>45992</v>
      </c>
      <c r="T190">
        <v>973.1</v>
      </c>
      <c r="U190">
        <f t="shared" si="42"/>
        <v>-6.0265577119509471E-3</v>
      </c>
      <c r="V190">
        <f t="shared" si="51"/>
        <v>29.03125443955107</v>
      </c>
      <c r="W190">
        <f t="shared" si="43"/>
        <v>-8.2759120873946747E-3</v>
      </c>
      <c r="Y190" s="1">
        <v>45992</v>
      </c>
      <c r="Z190" s="2">
        <v>1564</v>
      </c>
      <c r="AA190" s="4">
        <f t="shared" si="44"/>
        <v>2.4998397538619904E-3</v>
      </c>
      <c r="AB190">
        <f t="shared" si="52"/>
        <v>19.502352207674424</v>
      </c>
      <c r="AC190">
        <f t="shared" si="45"/>
        <v>3.6313856935073249E-3</v>
      </c>
      <c r="AE190">
        <f t="shared" si="46"/>
        <v>115.45049507508423</v>
      </c>
      <c r="AF190">
        <f t="shared" si="47"/>
        <v>-2.1686804144965821E-3</v>
      </c>
      <c r="AH190">
        <v>1.5525554416456222E-2</v>
      </c>
      <c r="AI190">
        <v>-5.4948333695898962E-3</v>
      </c>
      <c r="AJ190">
        <v>-2.4286388897096561E-3</v>
      </c>
      <c r="AK190">
        <v>4.0722779419741454E-3</v>
      </c>
      <c r="AL190">
        <v>-2.8904152452373147E-3</v>
      </c>
    </row>
    <row r="191" spans="1:38" x14ac:dyDescent="0.3">
      <c r="A191" s="1">
        <v>45993</v>
      </c>
      <c r="B191" s="2">
        <v>1022.6</v>
      </c>
      <c r="C191">
        <f t="shared" si="36"/>
        <v>-1.6352443247402738E-2</v>
      </c>
      <c r="D191">
        <f t="shared" si="48"/>
        <v>21.415706806282717</v>
      </c>
      <c r="E191">
        <f t="shared" si="37"/>
        <v>-1.7411119264464252E-2</v>
      </c>
      <c r="G191" s="1">
        <v>45993</v>
      </c>
      <c r="H191">
        <v>388.45</v>
      </c>
      <c r="I191">
        <f t="shared" si="38"/>
        <v>-3.3354714560616069E-3</v>
      </c>
      <c r="J191">
        <f t="shared" si="49"/>
        <v>29.419458199825222</v>
      </c>
      <c r="K191">
        <f t="shared" si="39"/>
        <v>-3.8564494500616846E-3</v>
      </c>
      <c r="M191" s="1">
        <v>45993</v>
      </c>
      <c r="N191" s="2">
        <v>11666</v>
      </c>
      <c r="O191">
        <f t="shared" si="40"/>
        <v>3.4299434059338022E-4</v>
      </c>
      <c r="P191">
        <f t="shared" si="50"/>
        <v>15.632606375596442</v>
      </c>
      <c r="Q191">
        <f t="shared" si="41"/>
        <v>-6.2227190557663601E-4</v>
      </c>
      <c r="S191" s="1">
        <v>45993</v>
      </c>
      <c r="T191">
        <v>967.3</v>
      </c>
      <c r="U191">
        <f t="shared" si="42"/>
        <v>-5.9603329565307448E-3</v>
      </c>
      <c r="V191">
        <f t="shared" si="51"/>
        <v>28.858218496945582</v>
      </c>
      <c r="W191">
        <f t="shared" si="43"/>
        <v>-8.2096873319744725E-3</v>
      </c>
      <c r="Y191" s="1">
        <v>45993</v>
      </c>
      <c r="Z191" s="2">
        <v>1561</v>
      </c>
      <c r="AA191" s="4">
        <f t="shared" si="44"/>
        <v>-1.9181585677749361E-3</v>
      </c>
      <c r="AB191">
        <f t="shared" si="52"/>
        <v>19.464943603695509</v>
      </c>
      <c r="AC191">
        <f t="shared" si="45"/>
        <v>-7.8661262812960162E-4</v>
      </c>
      <c r="AE191">
        <f t="shared" si="46"/>
        <v>114.79093348234548</v>
      </c>
      <c r="AF191">
        <f t="shared" si="47"/>
        <v>-5.7129386262899651E-3</v>
      </c>
      <c r="AH191">
        <v>-9.2632171351688768E-3</v>
      </c>
      <c r="AI191">
        <v>-1.4181838386553526E-3</v>
      </c>
      <c r="AJ191">
        <v>4.3795613400368803E-3</v>
      </c>
      <c r="AK191">
        <v>-8.2759120873946747E-3</v>
      </c>
      <c r="AL191">
        <v>3.6313856935073249E-3</v>
      </c>
    </row>
    <row r="192" spans="1:38" x14ac:dyDescent="0.3">
      <c r="A192" s="1">
        <v>45994</v>
      </c>
      <c r="B192" s="2">
        <v>1012.6</v>
      </c>
      <c r="C192">
        <f t="shared" si="36"/>
        <v>-9.7789947193428518E-3</v>
      </c>
      <c r="D192">
        <f t="shared" si="48"/>
        <v>21.206282722513084</v>
      </c>
      <c r="E192">
        <f t="shared" si="37"/>
        <v>-1.0837670736404367E-2</v>
      </c>
      <c r="G192" s="1">
        <v>45994</v>
      </c>
      <c r="H192">
        <v>383.65</v>
      </c>
      <c r="I192">
        <f t="shared" si="38"/>
        <v>-1.2356802677307276E-2</v>
      </c>
      <c r="J192">
        <f t="shared" si="49"/>
        <v>29.05592775997669</v>
      </c>
      <c r="K192">
        <f t="shared" si="39"/>
        <v>-1.2877780671307354E-2</v>
      </c>
      <c r="M192" s="1">
        <v>45994</v>
      </c>
      <c r="N192" s="2">
        <v>11591</v>
      </c>
      <c r="O192">
        <f t="shared" si="40"/>
        <v>-6.4289387965026576E-3</v>
      </c>
      <c r="P192">
        <f t="shared" si="50"/>
        <v>15.532105305977916</v>
      </c>
      <c r="Q192">
        <f t="shared" si="41"/>
        <v>-7.3942050426726736E-3</v>
      </c>
      <c r="S192" s="1">
        <v>45994</v>
      </c>
      <c r="T192">
        <v>951.05</v>
      </c>
      <c r="U192">
        <f t="shared" si="42"/>
        <v>-1.6799338364519797E-2</v>
      </c>
      <c r="V192">
        <f t="shared" si="51"/>
        <v>28.37341951981815</v>
      </c>
      <c r="W192">
        <f t="shared" si="43"/>
        <v>-1.9048692739963523E-2</v>
      </c>
      <c r="Y192" s="1">
        <v>45994</v>
      </c>
      <c r="Z192" s="2">
        <v>1578.7</v>
      </c>
      <c r="AA192" s="4">
        <f t="shared" si="44"/>
        <v>1.1338885329916748E-2</v>
      </c>
      <c r="AB192">
        <f t="shared" si="52"/>
        <v>19.685654367171111</v>
      </c>
      <c r="AC192">
        <f t="shared" si="45"/>
        <v>1.2470431269562083E-2</v>
      </c>
      <c r="AE192">
        <f t="shared" si="46"/>
        <v>113.85338967545694</v>
      </c>
      <c r="AF192">
        <f t="shared" si="47"/>
        <v>-8.1674029337233112E-3</v>
      </c>
      <c r="AH192">
        <v>-1.7411119264464252E-2</v>
      </c>
      <c r="AI192">
        <v>-3.8564494500616846E-3</v>
      </c>
      <c r="AJ192">
        <v>-6.2227190557663601E-4</v>
      </c>
      <c r="AK192">
        <v>-8.2096873319744725E-3</v>
      </c>
      <c r="AL192">
        <v>-7.8661262812960162E-4</v>
      </c>
    </row>
    <row r="193" spans="1:38" x14ac:dyDescent="0.3">
      <c r="A193" s="1">
        <v>45995</v>
      </c>
      <c r="B193" s="2">
        <v>1013.4</v>
      </c>
      <c r="C193">
        <f t="shared" si="36"/>
        <v>7.9004542761204274E-4</v>
      </c>
      <c r="D193">
        <f t="shared" si="48"/>
        <v>21.223036649214652</v>
      </c>
      <c r="E193">
        <f t="shared" si="37"/>
        <v>-2.6863058944947237E-4</v>
      </c>
      <c r="G193" s="1">
        <v>45995</v>
      </c>
      <c r="H193">
        <v>384.45</v>
      </c>
      <c r="I193">
        <f t="shared" si="38"/>
        <v>2.0852339371823575E-3</v>
      </c>
      <c r="J193">
        <f t="shared" si="49"/>
        <v>29.116516166618116</v>
      </c>
      <c r="K193">
        <f t="shared" si="39"/>
        <v>1.5642559431822797E-3</v>
      </c>
      <c r="M193" s="1">
        <v>45995</v>
      </c>
      <c r="N193" s="2">
        <v>11608</v>
      </c>
      <c r="O193">
        <f t="shared" si="40"/>
        <v>1.4666551634889139E-3</v>
      </c>
      <c r="P193">
        <f t="shared" si="50"/>
        <v>15.554885548424783</v>
      </c>
      <c r="Q193">
        <f t="shared" si="41"/>
        <v>5.0138891731889767E-4</v>
      </c>
      <c r="S193" s="1">
        <v>45995</v>
      </c>
      <c r="T193">
        <v>948.1</v>
      </c>
      <c r="U193">
        <f t="shared" si="42"/>
        <v>-3.101834814152707E-3</v>
      </c>
      <c r="V193">
        <f t="shared" si="51"/>
        <v>28.285409859355017</v>
      </c>
      <c r="W193">
        <f t="shared" si="43"/>
        <v>-5.3511891895964333E-3</v>
      </c>
      <c r="Y193" s="1">
        <v>45995</v>
      </c>
      <c r="Z193" s="2">
        <v>1597.6</v>
      </c>
      <c r="AA193" s="4">
        <f t="shared" si="44"/>
        <v>1.1971875593842949E-2</v>
      </c>
      <c r="AB193">
        <f t="shared" si="52"/>
        <v>19.921328572238274</v>
      </c>
      <c r="AC193">
        <f t="shared" si="45"/>
        <v>1.3103421533488284E-2</v>
      </c>
      <c r="AE193">
        <f t="shared" si="46"/>
        <v>114.10117679585085</v>
      </c>
      <c r="AF193">
        <f t="shared" si="47"/>
        <v>2.1763701642985023E-3</v>
      </c>
      <c r="AH193">
        <v>-1.0837670736404367E-2</v>
      </c>
      <c r="AI193">
        <v>-1.2877780671307354E-2</v>
      </c>
      <c r="AJ193">
        <v>-7.3942050426726736E-3</v>
      </c>
      <c r="AK193">
        <v>-1.9048692739963523E-2</v>
      </c>
      <c r="AL193">
        <v>1.2470431269562083E-2</v>
      </c>
    </row>
    <row r="194" spans="1:38" x14ac:dyDescent="0.3">
      <c r="A194" s="1">
        <v>45996</v>
      </c>
      <c r="B194" s="2">
        <v>1017.7</v>
      </c>
      <c r="C194">
        <f t="shared" si="36"/>
        <v>4.2431418985593725E-3</v>
      </c>
      <c r="D194">
        <f t="shared" si="48"/>
        <v>21.313089005235597</v>
      </c>
      <c r="E194">
        <f t="shared" si="37"/>
        <v>3.1844658814978574E-3</v>
      </c>
      <c r="G194" s="1">
        <v>45996</v>
      </c>
      <c r="H194">
        <v>384.5</v>
      </c>
      <c r="I194">
        <f t="shared" si="38"/>
        <v>1.3005592404736994E-4</v>
      </c>
      <c r="J194">
        <f t="shared" si="49"/>
        <v>29.120302942033206</v>
      </c>
      <c r="K194">
        <f t="shared" si="39"/>
        <v>-3.9092206995270778E-4</v>
      </c>
      <c r="M194" s="1">
        <v>45996</v>
      </c>
      <c r="N194" s="2">
        <v>11597</v>
      </c>
      <c r="O194">
        <f t="shared" si="40"/>
        <v>-9.4762232942798073E-4</v>
      </c>
      <c r="P194">
        <f t="shared" si="50"/>
        <v>15.5401453915474</v>
      </c>
      <c r="Q194">
        <f t="shared" si="41"/>
        <v>-1.912888575597997E-3</v>
      </c>
      <c r="S194" s="1">
        <v>45996</v>
      </c>
      <c r="T194">
        <v>971.5</v>
      </c>
      <c r="U194">
        <f t="shared" si="42"/>
        <v>2.468094082902645E-2</v>
      </c>
      <c r="V194">
        <f t="shared" si="51"/>
        <v>28.983520386418522</v>
      </c>
      <c r="W194">
        <f t="shared" si="43"/>
        <v>2.2431586453582723E-2</v>
      </c>
      <c r="Y194" s="1">
        <v>45996</v>
      </c>
      <c r="Z194" s="2">
        <v>1616.2</v>
      </c>
      <c r="AA194" s="4">
        <f t="shared" si="44"/>
        <v>1.1642463695543401E-2</v>
      </c>
      <c r="AB194">
        <f t="shared" si="52"/>
        <v>20.15326191690755</v>
      </c>
      <c r="AC194">
        <f t="shared" si="45"/>
        <v>1.2774009635188736E-2</v>
      </c>
      <c r="AE194">
        <f t="shared" si="46"/>
        <v>115.11031964214227</v>
      </c>
      <c r="AF194">
        <f t="shared" si="47"/>
        <v>8.8442807920989797E-3</v>
      </c>
      <c r="AH194">
        <v>-2.6863058944947237E-4</v>
      </c>
      <c r="AI194">
        <v>1.5642559431822797E-3</v>
      </c>
      <c r="AJ194">
        <v>5.0138891731889767E-4</v>
      </c>
      <c r="AK194">
        <v>-5.3511891895964333E-3</v>
      </c>
      <c r="AL194">
        <v>1.3103421533488284E-2</v>
      </c>
    </row>
    <row r="195" spans="1:38" x14ac:dyDescent="0.3">
      <c r="A195" s="1">
        <v>45999</v>
      </c>
      <c r="B195">
        <v>993.8</v>
      </c>
      <c r="C195">
        <f t="shared" si="36"/>
        <v>-2.3484327404932781E-2</v>
      </c>
      <c r="D195">
        <f t="shared" si="48"/>
        <v>20.81256544502617</v>
      </c>
      <c r="E195">
        <f t="shared" si="37"/>
        <v>-2.4543003421994294E-2</v>
      </c>
      <c r="G195" s="1">
        <v>45999</v>
      </c>
      <c r="H195">
        <v>374.15</v>
      </c>
      <c r="I195">
        <f t="shared" si="38"/>
        <v>-2.6918075422626846E-2</v>
      </c>
      <c r="J195">
        <f t="shared" si="49"/>
        <v>28.336440431109814</v>
      </c>
      <c r="K195">
        <f t="shared" si="39"/>
        <v>-2.7439053416626925E-2</v>
      </c>
      <c r="M195" s="1">
        <v>45999</v>
      </c>
      <c r="N195" s="2">
        <v>11540</v>
      </c>
      <c r="O195">
        <f t="shared" si="40"/>
        <v>-4.9150642407519186E-3</v>
      </c>
      <c r="P195">
        <f t="shared" si="50"/>
        <v>15.463764578637319</v>
      </c>
      <c r="Q195">
        <f t="shared" si="41"/>
        <v>-5.8803304869219346E-3</v>
      </c>
      <c r="S195" s="1">
        <v>45999</v>
      </c>
      <c r="T195">
        <v>956.4</v>
      </c>
      <c r="U195">
        <f t="shared" si="42"/>
        <v>-1.5542974781266107E-2</v>
      </c>
      <c r="V195">
        <f t="shared" si="51"/>
        <v>28.533030259980109</v>
      </c>
      <c r="W195">
        <f t="shared" si="43"/>
        <v>-1.7792329156709835E-2</v>
      </c>
      <c r="Y195" s="1">
        <v>45999</v>
      </c>
      <c r="Z195" s="2">
        <v>1610.8</v>
      </c>
      <c r="AA195" s="4">
        <f t="shared" si="44"/>
        <v>-3.3411706471971852E-3</v>
      </c>
      <c r="AB195">
        <f t="shared" si="52"/>
        <v>20.085926429745502</v>
      </c>
      <c r="AC195">
        <f t="shared" si="45"/>
        <v>-2.2096247075518508E-3</v>
      </c>
      <c r="AE195">
        <f t="shared" si="46"/>
        <v>113.2317271444989</v>
      </c>
      <c r="AF195">
        <f t="shared" si="47"/>
        <v>-1.6319931205851734E-2</v>
      </c>
      <c r="AH195">
        <v>3.1844658814978574E-3</v>
      </c>
      <c r="AI195">
        <v>-3.9092206995270778E-4</v>
      </c>
      <c r="AJ195">
        <v>-1.912888575597997E-3</v>
      </c>
      <c r="AK195">
        <v>2.2431586453582723E-2</v>
      </c>
      <c r="AL195">
        <v>1.2774009635188736E-2</v>
      </c>
    </row>
    <row r="196" spans="1:38" x14ac:dyDescent="0.3">
      <c r="A196" s="1">
        <v>46000</v>
      </c>
      <c r="B196">
        <v>998.9</v>
      </c>
      <c r="C196">
        <f t="shared" si="36"/>
        <v>5.1318172670557684E-3</v>
      </c>
      <c r="D196">
        <f t="shared" si="48"/>
        <v>20.919371727748683</v>
      </c>
      <c r="E196">
        <f t="shared" si="37"/>
        <v>4.0731412499942533E-3</v>
      </c>
      <c r="G196" s="1">
        <v>46000</v>
      </c>
      <c r="H196">
        <v>376.25</v>
      </c>
      <c r="I196">
        <f t="shared" si="38"/>
        <v>5.6127221702526337E-3</v>
      </c>
      <c r="J196">
        <f t="shared" si="49"/>
        <v>28.495484998543549</v>
      </c>
      <c r="K196">
        <f t="shared" si="39"/>
        <v>5.0917441762525564E-3</v>
      </c>
      <c r="M196" s="1">
        <v>46000</v>
      </c>
      <c r="N196" s="2">
        <v>11414</v>
      </c>
      <c r="O196">
        <f t="shared" si="40"/>
        <v>-1.0918544194107453E-2</v>
      </c>
      <c r="P196">
        <f t="shared" si="50"/>
        <v>15.294922781678194</v>
      </c>
      <c r="Q196">
        <f t="shared" si="41"/>
        <v>-1.1883810440277469E-2</v>
      </c>
      <c r="S196" s="1">
        <v>46000</v>
      </c>
      <c r="T196">
        <v>959.35</v>
      </c>
      <c r="U196">
        <f t="shared" si="42"/>
        <v>3.0844834797156477E-3</v>
      </c>
      <c r="V196">
        <f t="shared" si="51"/>
        <v>28.621039920443245</v>
      </c>
      <c r="W196">
        <f t="shared" si="43"/>
        <v>8.3512910427192095E-4</v>
      </c>
      <c r="Y196" s="1">
        <v>46000</v>
      </c>
      <c r="Z196" s="2">
        <v>1599</v>
      </c>
      <c r="AA196" s="4">
        <f t="shared" si="44"/>
        <v>-7.3255525204866867E-3</v>
      </c>
      <c r="AB196">
        <f t="shared" si="52"/>
        <v>19.93878592076177</v>
      </c>
      <c r="AC196">
        <f t="shared" si="45"/>
        <v>-6.1940065808413526E-3</v>
      </c>
      <c r="AE196">
        <f t="shared" si="46"/>
        <v>113.26960534917544</v>
      </c>
      <c r="AF196">
        <f t="shared" si="47"/>
        <v>3.3451935806105837E-4</v>
      </c>
      <c r="AH196">
        <v>-2.4543003421994294E-2</v>
      </c>
      <c r="AI196">
        <v>-2.7439053416626925E-2</v>
      </c>
      <c r="AJ196">
        <v>-5.8803304869219346E-3</v>
      </c>
      <c r="AK196">
        <v>-1.7792329156709835E-2</v>
      </c>
      <c r="AL196">
        <v>-2.2096247075518508E-3</v>
      </c>
    </row>
    <row r="197" spans="1:38" x14ac:dyDescent="0.3">
      <c r="A197" s="1">
        <v>46001</v>
      </c>
      <c r="B197">
        <v>989.8</v>
      </c>
      <c r="C197">
        <f t="shared" si="36"/>
        <v>-9.110021023125461E-3</v>
      </c>
      <c r="D197">
        <f t="shared" si="48"/>
        <v>20.728795811518317</v>
      </c>
      <c r="E197">
        <f t="shared" si="37"/>
        <v>-1.0168697040186976E-2</v>
      </c>
      <c r="G197" s="1">
        <v>46001</v>
      </c>
      <c r="H197">
        <v>379.85</v>
      </c>
      <c r="I197">
        <f t="shared" si="38"/>
        <v>9.5681063122924192E-3</v>
      </c>
      <c r="J197">
        <f t="shared" si="49"/>
        <v>28.768132828429945</v>
      </c>
      <c r="K197">
        <f t="shared" si="39"/>
        <v>9.0471283182923419E-3</v>
      </c>
      <c r="M197" s="1">
        <v>46001</v>
      </c>
      <c r="N197" s="2">
        <v>11317</v>
      </c>
      <c r="O197">
        <f t="shared" si="40"/>
        <v>-8.4983353776064488E-3</v>
      </c>
      <c r="P197">
        <f t="shared" si="50"/>
        <v>15.164941398304899</v>
      </c>
      <c r="Q197">
        <f t="shared" si="41"/>
        <v>-9.4636016237764648E-3</v>
      </c>
      <c r="S197" s="1">
        <v>46001</v>
      </c>
      <c r="T197">
        <v>959.75</v>
      </c>
      <c r="U197">
        <f t="shared" si="42"/>
        <v>4.1694897586905429E-4</v>
      </c>
      <c r="V197">
        <f t="shared" si="51"/>
        <v>28.632973433726377</v>
      </c>
      <c r="W197">
        <f t="shared" si="43"/>
        <v>-1.8324053995746725E-3</v>
      </c>
      <c r="Y197" s="1">
        <v>46001</v>
      </c>
      <c r="Z197" s="2">
        <v>1584.8</v>
      </c>
      <c r="AA197" s="4">
        <f t="shared" si="44"/>
        <v>-8.8805503439650067E-3</v>
      </c>
      <c r="AB197">
        <f t="shared" si="52"/>
        <v>19.761718528594905</v>
      </c>
      <c r="AC197">
        <f t="shared" si="45"/>
        <v>-7.7490044043196718E-3</v>
      </c>
      <c r="AE197">
        <f t="shared" si="46"/>
        <v>113.05656200057444</v>
      </c>
      <c r="AF197">
        <f t="shared" si="47"/>
        <v>-1.8808518661669327E-3</v>
      </c>
      <c r="AH197">
        <v>4.0731412499942533E-3</v>
      </c>
      <c r="AI197">
        <v>5.0917441762525564E-3</v>
      </c>
      <c r="AJ197">
        <v>-1.1883810440277469E-2</v>
      </c>
      <c r="AK197">
        <v>8.3512910427192095E-4</v>
      </c>
      <c r="AL197">
        <v>-6.1940065808413526E-3</v>
      </c>
    </row>
    <row r="198" spans="1:38" x14ac:dyDescent="0.3">
      <c r="A198" s="1">
        <v>46002</v>
      </c>
      <c r="B198" s="2">
        <v>1018.8</v>
      </c>
      <c r="C198">
        <f t="shared" ref="C198:C250" si="53">(B198-B197)/B197</f>
        <v>2.9298848252172157E-2</v>
      </c>
      <c r="D198">
        <f t="shared" si="48"/>
        <v>21.336125654450253</v>
      </c>
      <c r="E198">
        <f t="shared" ref="E198:E250" si="54">C198-$C$252</f>
        <v>2.824017223511064E-2</v>
      </c>
      <c r="G198" s="1">
        <v>46002</v>
      </c>
      <c r="H198">
        <v>380.15</v>
      </c>
      <c r="I198">
        <f t="shared" ref="I198:I250" si="55">(H198-H197)/H197</f>
        <v>7.8978544162157296E-4</v>
      </c>
      <c r="J198">
        <f t="shared" si="49"/>
        <v>28.790853480920479</v>
      </c>
      <c r="K198">
        <f t="shared" ref="K198:K250" si="56">I198-$I$252</f>
        <v>2.6880744762149524E-4</v>
      </c>
      <c r="M198" s="1">
        <v>46002</v>
      </c>
      <c r="N198" s="2">
        <v>11472</v>
      </c>
      <c r="O198">
        <f t="shared" ref="O198:O250" si="57">(N198-N197)/N197</f>
        <v>1.3696209242732172E-2</v>
      </c>
      <c r="P198">
        <f t="shared" si="50"/>
        <v>15.372643608849854</v>
      </c>
      <c r="Q198">
        <f t="shared" ref="Q198:Q250" si="58">O198-$O$252</f>
        <v>1.2730942996562156E-2</v>
      </c>
      <c r="S198" s="1">
        <v>46002</v>
      </c>
      <c r="T198">
        <v>963.25</v>
      </c>
      <c r="U198">
        <f t="shared" ref="U198:U250" si="59">(T198-T197)/T197</f>
        <v>3.6467830164105238E-3</v>
      </c>
      <c r="V198">
        <f t="shared" si="51"/>
        <v>28.73739167495382</v>
      </c>
      <c r="W198">
        <f t="shared" ref="W198:W250" si="60">U198-$U$252</f>
        <v>1.397428640966797E-3</v>
      </c>
      <c r="Y198" s="1">
        <v>46002</v>
      </c>
      <c r="Z198" s="2">
        <v>1598</v>
      </c>
      <c r="AA198" s="4">
        <f t="shared" ref="AA198:AA250" si="61">(Z198-Z197)/Z197</f>
        <v>8.3291267036850365E-3</v>
      </c>
      <c r="AB198">
        <f t="shared" si="52"/>
        <v>19.926316386102133</v>
      </c>
      <c r="AC198">
        <f t="shared" ref="AC198:AC250" si="62">AA198-$AA$252</f>
        <v>9.4606726433303714E-3</v>
      </c>
      <c r="AE198">
        <f t="shared" ref="AE198:AE250" si="63">AB198+V198+P198+J198+D198</f>
        <v>114.16333080527654</v>
      </c>
      <c r="AF198">
        <f t="shared" ref="AF198:AF250" si="64">AE198/AE197-1</f>
        <v>9.7895140725796637E-3</v>
      </c>
      <c r="AH198">
        <v>-1.0168697040186976E-2</v>
      </c>
      <c r="AI198">
        <v>9.0471283182923419E-3</v>
      </c>
      <c r="AJ198">
        <v>-9.4636016237764648E-3</v>
      </c>
      <c r="AK198">
        <v>-1.8324053995746725E-3</v>
      </c>
      <c r="AL198">
        <v>-7.7490044043196718E-3</v>
      </c>
    </row>
    <row r="199" spans="1:38" x14ac:dyDescent="0.3">
      <c r="A199" s="1">
        <v>46003</v>
      </c>
      <c r="B199" s="2">
        <v>1040.2</v>
      </c>
      <c r="C199">
        <f t="shared" si="53"/>
        <v>2.1005104043973391E-2</v>
      </c>
      <c r="D199">
        <f t="shared" ref="D199:D250" si="65">D198*(1+C199)</f>
        <v>21.784293193717271</v>
      </c>
      <c r="E199">
        <f t="shared" si="54"/>
        <v>1.9946428026911878E-2</v>
      </c>
      <c r="G199" s="1">
        <v>46003</v>
      </c>
      <c r="H199">
        <v>381.95</v>
      </c>
      <c r="I199">
        <f t="shared" si="55"/>
        <v>4.734973036959125E-3</v>
      </c>
      <c r="J199">
        <f t="shared" ref="J199:J250" si="66">J198*(1+I199)</f>
        <v>28.927177395863676</v>
      </c>
      <c r="K199">
        <f t="shared" si="56"/>
        <v>4.2139950429590477E-3</v>
      </c>
      <c r="M199" s="1">
        <v>46003</v>
      </c>
      <c r="N199" s="2">
        <v>11723</v>
      </c>
      <c r="O199">
        <f t="shared" si="57"/>
        <v>2.1879358437935845E-2</v>
      </c>
      <c r="P199">
        <f t="shared" ref="P199:P250" si="67">P198*(1+O199)</f>
        <v>15.708987188506523</v>
      </c>
      <c r="Q199">
        <f t="shared" si="58"/>
        <v>2.0914092191765828E-2</v>
      </c>
      <c r="S199" s="1">
        <v>46003</v>
      </c>
      <c r="T199">
        <v>963.15</v>
      </c>
      <c r="U199">
        <f t="shared" si="59"/>
        <v>-1.0381520892813157E-4</v>
      </c>
      <c r="V199">
        <f t="shared" ref="V199:V250" si="68">V198*(1+U199)</f>
        <v>28.734408296633035</v>
      </c>
      <c r="W199">
        <f t="shared" si="60"/>
        <v>-2.3531695843718582E-3</v>
      </c>
      <c r="Y199" s="1">
        <v>46003</v>
      </c>
      <c r="Z199" s="2">
        <v>1598.2</v>
      </c>
      <c r="AA199" s="4">
        <f t="shared" si="61"/>
        <v>1.2515644555697464E-4</v>
      </c>
      <c r="AB199">
        <f t="shared" ref="AB199:AB250" si="69">AB198*(1+AA199)</f>
        <v>19.928810293034061</v>
      </c>
      <c r="AC199">
        <f t="shared" si="62"/>
        <v>1.256702385202309E-3</v>
      </c>
      <c r="AE199">
        <f t="shared" si="63"/>
        <v>115.08367636775458</v>
      </c>
      <c r="AF199">
        <f t="shared" si="64"/>
        <v>8.061656540556239E-3</v>
      </c>
      <c r="AH199">
        <v>2.824017223511064E-2</v>
      </c>
      <c r="AI199">
        <v>2.6880744762149524E-4</v>
      </c>
      <c r="AJ199">
        <v>1.2730942996562156E-2</v>
      </c>
      <c r="AK199">
        <v>1.397428640966797E-3</v>
      </c>
      <c r="AL199">
        <v>9.4606726433303714E-3</v>
      </c>
    </row>
    <row r="200" spans="1:38" x14ac:dyDescent="0.3">
      <c r="A200" s="1">
        <v>46006</v>
      </c>
      <c r="B200" s="2">
        <v>1047.5999999999999</v>
      </c>
      <c r="C200">
        <f t="shared" si="53"/>
        <v>7.1140165352815456E-3</v>
      </c>
      <c r="D200">
        <f t="shared" si="65"/>
        <v>21.9392670157068</v>
      </c>
      <c r="E200">
        <f t="shared" si="54"/>
        <v>6.0553405182200305E-3</v>
      </c>
      <c r="G200" s="1">
        <v>46006</v>
      </c>
      <c r="H200">
        <v>381.65</v>
      </c>
      <c r="I200">
        <f t="shared" si="55"/>
        <v>-7.8544312082736323E-4</v>
      </c>
      <c r="J200">
        <f t="shared" si="66"/>
        <v>28.904456743373142</v>
      </c>
      <c r="K200">
        <f t="shared" si="56"/>
        <v>-1.3064211148274408E-3</v>
      </c>
      <c r="M200" s="1">
        <v>46006</v>
      </c>
      <c r="N200" s="2">
        <v>11728</v>
      </c>
      <c r="O200">
        <f t="shared" si="57"/>
        <v>4.2651198498677815E-4</v>
      </c>
      <c r="P200">
        <f t="shared" si="67"/>
        <v>15.715687259814427</v>
      </c>
      <c r="Q200">
        <f t="shared" si="58"/>
        <v>-5.3875426118323803E-4</v>
      </c>
      <c r="S200" s="1">
        <v>46006</v>
      </c>
      <c r="T200">
        <v>967.25</v>
      </c>
      <c r="U200">
        <f t="shared" si="59"/>
        <v>4.25686549343303E-3</v>
      </c>
      <c r="V200">
        <f t="shared" si="68"/>
        <v>28.856726807785186</v>
      </c>
      <c r="W200">
        <f t="shared" si="60"/>
        <v>2.0075111179893032E-3</v>
      </c>
      <c r="Y200" s="1">
        <v>46006</v>
      </c>
      <c r="Z200" s="2">
        <v>1606.8</v>
      </c>
      <c r="AA200" s="4">
        <f t="shared" si="61"/>
        <v>5.3810536853960136E-3</v>
      </c>
      <c r="AB200">
        <f t="shared" si="69"/>
        <v>20.036048291106951</v>
      </c>
      <c r="AC200">
        <f t="shared" si="62"/>
        <v>6.5125996250413477E-3</v>
      </c>
      <c r="AE200">
        <f t="shared" si="63"/>
        <v>115.45218611778651</v>
      </c>
      <c r="AF200">
        <f t="shared" si="64"/>
        <v>3.2021026931252639E-3</v>
      </c>
      <c r="AH200">
        <v>1.9946428026911878E-2</v>
      </c>
      <c r="AI200">
        <v>4.2139950429590477E-3</v>
      </c>
      <c r="AJ200">
        <v>2.0914092191765828E-2</v>
      </c>
      <c r="AK200">
        <v>-2.3531695843718582E-3</v>
      </c>
      <c r="AL200">
        <v>1.256702385202309E-3</v>
      </c>
    </row>
    <row r="201" spans="1:38" x14ac:dyDescent="0.3">
      <c r="A201" s="1">
        <v>46007</v>
      </c>
      <c r="B201" s="2">
        <v>1028.2</v>
      </c>
      <c r="C201">
        <f t="shared" si="53"/>
        <v>-1.8518518518518389E-2</v>
      </c>
      <c r="D201">
        <f t="shared" si="65"/>
        <v>21.532984293193714</v>
      </c>
      <c r="E201">
        <f t="shared" si="54"/>
        <v>-1.9577194535579906E-2</v>
      </c>
      <c r="G201" s="1">
        <v>46007</v>
      </c>
      <c r="H201">
        <v>379.85</v>
      </c>
      <c r="I201">
        <f t="shared" si="55"/>
        <v>-4.7163631599631984E-3</v>
      </c>
      <c r="J201">
        <f t="shared" si="66"/>
        <v>28.768132828429948</v>
      </c>
      <c r="K201">
        <f t="shared" si="56"/>
        <v>-5.2373411539632757E-3</v>
      </c>
      <c r="M201" s="1">
        <v>46007</v>
      </c>
      <c r="N201" s="2">
        <v>11528</v>
      </c>
      <c r="O201">
        <f t="shared" si="57"/>
        <v>-1.7053206002728513E-2</v>
      </c>
      <c r="P201">
        <f t="shared" si="67"/>
        <v>15.447684407498356</v>
      </c>
      <c r="Q201">
        <f t="shared" si="58"/>
        <v>-1.8018472248898531E-2</v>
      </c>
      <c r="S201" s="1">
        <v>46007</v>
      </c>
      <c r="T201">
        <v>961.15</v>
      </c>
      <c r="U201">
        <f t="shared" si="59"/>
        <v>-6.3065391574050377E-3</v>
      </c>
      <c r="V201">
        <f t="shared" si="68"/>
        <v>28.674740730217348</v>
      </c>
      <c r="W201">
        <f t="shared" si="60"/>
        <v>-8.5558935328487636E-3</v>
      </c>
      <c r="Y201" s="1">
        <v>46007</v>
      </c>
      <c r="Z201" s="2">
        <v>1592.9</v>
      </c>
      <c r="AA201" s="4">
        <f t="shared" si="61"/>
        <v>-8.6507343788896334E-3</v>
      </c>
      <c r="AB201">
        <f t="shared" si="69"/>
        <v>19.86272175933798</v>
      </c>
      <c r="AC201">
        <f t="shared" si="62"/>
        <v>-7.5191884392442985E-3</v>
      </c>
      <c r="AE201">
        <f t="shared" si="63"/>
        <v>114.28626401867734</v>
      </c>
      <c r="AF201">
        <f t="shared" si="64"/>
        <v>-1.0098744236160861E-2</v>
      </c>
      <c r="AH201">
        <v>6.0553405182200305E-3</v>
      </c>
      <c r="AI201">
        <v>-1.3064211148274408E-3</v>
      </c>
      <c r="AJ201">
        <v>-5.3875426118323803E-4</v>
      </c>
      <c r="AK201">
        <v>2.0075111179893032E-3</v>
      </c>
      <c r="AL201">
        <v>6.5125996250413477E-3</v>
      </c>
    </row>
    <row r="202" spans="1:38" x14ac:dyDescent="0.3">
      <c r="A202" s="1">
        <v>46008</v>
      </c>
      <c r="B202" s="2">
        <v>1020.7</v>
      </c>
      <c r="C202">
        <f t="shared" si="53"/>
        <v>-7.294300719704337E-3</v>
      </c>
      <c r="D202">
        <f t="shared" si="65"/>
        <v>21.375916230366489</v>
      </c>
      <c r="E202">
        <f t="shared" si="54"/>
        <v>-8.3529767367658513E-3</v>
      </c>
      <c r="G202" s="1">
        <v>46008</v>
      </c>
      <c r="H202">
        <v>378.55</v>
      </c>
      <c r="I202">
        <f t="shared" si="55"/>
        <v>-3.4224035803606984E-3</v>
      </c>
      <c r="J202">
        <f t="shared" si="66"/>
        <v>28.669676667637638</v>
      </c>
      <c r="K202">
        <f t="shared" si="56"/>
        <v>-3.9433815743607761E-3</v>
      </c>
      <c r="M202" s="1">
        <v>46008</v>
      </c>
      <c r="N202" s="2">
        <v>11540</v>
      </c>
      <c r="O202">
        <f t="shared" si="57"/>
        <v>1.040943789035392E-3</v>
      </c>
      <c r="P202">
        <f t="shared" si="67"/>
        <v>15.463764578637319</v>
      </c>
      <c r="Q202">
        <f t="shared" si="58"/>
        <v>7.5677542865375822E-5</v>
      </c>
      <c r="S202" s="1">
        <v>46008</v>
      </c>
      <c r="T202">
        <v>975.85</v>
      </c>
      <c r="U202">
        <f t="shared" si="59"/>
        <v>1.5294178848254743E-2</v>
      </c>
      <c r="V202">
        <f t="shared" si="68"/>
        <v>29.113297343372629</v>
      </c>
      <c r="W202">
        <f t="shared" si="60"/>
        <v>1.3044824472811016E-2</v>
      </c>
      <c r="Y202" s="1">
        <v>46008</v>
      </c>
      <c r="Z202" s="2">
        <v>1602</v>
      </c>
      <c r="AA202" s="4">
        <f t="shared" si="61"/>
        <v>5.712850775315405E-3</v>
      </c>
      <c r="AB202">
        <f t="shared" si="69"/>
        <v>19.976194524740688</v>
      </c>
      <c r="AC202">
        <f t="shared" si="62"/>
        <v>6.844396714960739E-3</v>
      </c>
      <c r="AE202">
        <f t="shared" si="63"/>
        <v>114.59884934475475</v>
      </c>
      <c r="AF202">
        <f t="shared" si="64"/>
        <v>2.7351084468587583E-3</v>
      </c>
      <c r="AH202">
        <v>-1.9577194535579906E-2</v>
      </c>
      <c r="AI202">
        <v>-5.2373411539632757E-3</v>
      </c>
      <c r="AJ202">
        <v>-1.8018472248898531E-2</v>
      </c>
      <c r="AK202">
        <v>-8.5558935328487636E-3</v>
      </c>
      <c r="AL202">
        <v>-7.5191884392442985E-3</v>
      </c>
    </row>
    <row r="203" spans="1:38" x14ac:dyDescent="0.3">
      <c r="A203" s="1">
        <v>46009</v>
      </c>
      <c r="B203" s="2">
        <v>1011</v>
      </c>
      <c r="C203">
        <f t="shared" si="53"/>
        <v>-9.5032820613305032E-3</v>
      </c>
      <c r="D203">
        <f t="shared" si="65"/>
        <v>21.172774869109944</v>
      </c>
      <c r="E203">
        <f t="shared" si="54"/>
        <v>-1.0561958078392018E-2</v>
      </c>
      <c r="G203" s="1">
        <v>46009</v>
      </c>
      <c r="H203">
        <v>374.95</v>
      </c>
      <c r="I203">
        <f t="shared" si="55"/>
        <v>-9.5099722625809607E-3</v>
      </c>
      <c r="J203">
        <f t="shared" si="66"/>
        <v>28.39702883775124</v>
      </c>
      <c r="K203">
        <f t="shared" si="56"/>
        <v>-1.0030950256581038E-2</v>
      </c>
      <c r="M203" s="1">
        <v>46009</v>
      </c>
      <c r="N203" s="2">
        <v>11461</v>
      </c>
      <c r="O203">
        <f t="shared" si="57"/>
        <v>-6.845753899480069E-3</v>
      </c>
      <c r="P203">
        <f t="shared" si="67"/>
        <v>15.35790345197247</v>
      </c>
      <c r="Q203">
        <f t="shared" si="58"/>
        <v>-7.811020145650085E-3</v>
      </c>
      <c r="S203" s="1">
        <v>46009</v>
      </c>
      <c r="T203">
        <v>977.55</v>
      </c>
      <c r="U203">
        <f t="shared" si="59"/>
        <v>1.7420710150124832E-3</v>
      </c>
      <c r="V203">
        <f t="shared" si="68"/>
        <v>29.164014774825958</v>
      </c>
      <c r="W203">
        <f t="shared" si="60"/>
        <v>-5.0728336043124353E-4</v>
      </c>
      <c r="Y203" s="1">
        <v>46009</v>
      </c>
      <c r="Z203" s="2">
        <v>1626.8</v>
      </c>
      <c r="AA203" s="4">
        <f t="shared" si="61"/>
        <v>1.5480649188514328E-2</v>
      </c>
      <c r="AB203">
        <f t="shared" si="69"/>
        <v>20.285438984299716</v>
      </c>
      <c r="AC203">
        <f t="shared" si="62"/>
        <v>1.6612195128159663E-2</v>
      </c>
      <c r="AE203">
        <f t="shared" si="63"/>
        <v>114.37716091795933</v>
      </c>
      <c r="AF203">
        <f t="shared" si="64"/>
        <v>-1.9344734093141858E-3</v>
      </c>
      <c r="AH203">
        <v>-8.3529767367658513E-3</v>
      </c>
      <c r="AI203">
        <v>-3.9433815743607761E-3</v>
      </c>
      <c r="AJ203">
        <v>7.5677542865375822E-5</v>
      </c>
      <c r="AK203">
        <v>1.3044824472811016E-2</v>
      </c>
      <c r="AL203">
        <v>6.844396714960739E-3</v>
      </c>
    </row>
    <row r="204" spans="1:38" x14ac:dyDescent="0.3">
      <c r="A204" s="1">
        <v>46010</v>
      </c>
      <c r="B204" s="2">
        <v>1020.9</v>
      </c>
      <c r="C204">
        <f t="shared" si="53"/>
        <v>9.7922848664688204E-3</v>
      </c>
      <c r="D204">
        <f t="shared" si="65"/>
        <v>21.380104712041881</v>
      </c>
      <c r="E204">
        <f t="shared" si="54"/>
        <v>8.7336088494073053E-3</v>
      </c>
      <c r="G204" s="1">
        <v>46010</v>
      </c>
      <c r="H204">
        <v>380.55</v>
      </c>
      <c r="I204">
        <f t="shared" si="55"/>
        <v>1.493532470996139E-2</v>
      </c>
      <c r="J204">
        <f t="shared" si="66"/>
        <v>28.82114768424119</v>
      </c>
      <c r="K204">
        <f t="shared" si="56"/>
        <v>1.4414346715961313E-2</v>
      </c>
      <c r="M204" s="1">
        <v>46010</v>
      </c>
      <c r="N204" s="2">
        <v>11496</v>
      </c>
      <c r="O204">
        <f t="shared" si="57"/>
        <v>3.0538347439141435E-3</v>
      </c>
      <c r="P204">
        <f t="shared" si="67"/>
        <v>15.404803951127784</v>
      </c>
      <c r="Q204">
        <f t="shared" si="58"/>
        <v>2.088568497744127E-3</v>
      </c>
      <c r="S204" s="1">
        <v>46010</v>
      </c>
      <c r="T204">
        <v>980.3</v>
      </c>
      <c r="U204">
        <f t="shared" si="59"/>
        <v>2.8131553373228991E-3</v>
      </c>
      <c r="V204">
        <f t="shared" si="68"/>
        <v>29.246057678647524</v>
      </c>
      <c r="W204">
        <f t="shared" si="60"/>
        <v>5.6380096187917238E-4</v>
      </c>
      <c r="Y204" s="1">
        <v>46010</v>
      </c>
      <c r="Z204" s="2">
        <v>1638.7</v>
      </c>
      <c r="AA204" s="4">
        <f t="shared" si="61"/>
        <v>7.3149741824441181E-3</v>
      </c>
      <c r="AB204">
        <f t="shared" si="69"/>
        <v>20.433826446749414</v>
      </c>
      <c r="AC204">
        <f t="shared" si="62"/>
        <v>8.4465201220894522E-3</v>
      </c>
      <c r="AE204">
        <f t="shared" si="63"/>
        <v>115.28594047280779</v>
      </c>
      <c r="AF204">
        <f t="shared" si="64"/>
        <v>7.9454634785025569E-3</v>
      </c>
      <c r="AH204">
        <v>-1.0561958078392018E-2</v>
      </c>
      <c r="AI204">
        <v>-1.0030950256581038E-2</v>
      </c>
      <c r="AJ204">
        <v>-7.811020145650085E-3</v>
      </c>
      <c r="AK204">
        <v>-5.0728336043124353E-4</v>
      </c>
      <c r="AL204">
        <v>1.6612195128159663E-2</v>
      </c>
    </row>
    <row r="205" spans="1:38" x14ac:dyDescent="0.3">
      <c r="A205" s="1">
        <v>46013</v>
      </c>
      <c r="B205" s="2">
        <v>1020.8</v>
      </c>
      <c r="C205">
        <f t="shared" si="53"/>
        <v>-9.795278675680551E-5</v>
      </c>
      <c r="D205">
        <f t="shared" si="65"/>
        <v>21.378010471204185</v>
      </c>
      <c r="E205">
        <f t="shared" si="54"/>
        <v>-1.1566288038183205E-3</v>
      </c>
      <c r="G205" s="1">
        <v>46013</v>
      </c>
      <c r="H205">
        <v>380.8</v>
      </c>
      <c r="I205">
        <f t="shared" si="55"/>
        <v>6.5694389699119692E-4</v>
      </c>
      <c r="J205">
        <f t="shared" si="66"/>
        <v>28.840081561316634</v>
      </c>
      <c r="K205">
        <f t="shared" si="56"/>
        <v>1.3596590299111921E-4</v>
      </c>
      <c r="M205" s="1">
        <v>46013</v>
      </c>
      <c r="N205" s="2">
        <v>11532</v>
      </c>
      <c r="O205">
        <f t="shared" si="57"/>
        <v>3.1315240083507308E-3</v>
      </c>
      <c r="P205">
        <f t="shared" si="67"/>
        <v>15.453044464544677</v>
      </c>
      <c r="Q205">
        <f t="shared" si="58"/>
        <v>2.1662577621807148E-3</v>
      </c>
      <c r="S205" s="1">
        <v>46013</v>
      </c>
      <c r="T205">
        <v>974.3</v>
      </c>
      <c r="U205">
        <f t="shared" si="59"/>
        <v>-6.1205753340814037E-3</v>
      </c>
      <c r="V205">
        <f t="shared" si="68"/>
        <v>29.067054979400474</v>
      </c>
      <c r="W205">
        <f t="shared" si="60"/>
        <v>-8.3699297095251313E-3</v>
      </c>
      <c r="Y205" s="1">
        <v>46013</v>
      </c>
      <c r="Z205" s="2">
        <v>1689.6</v>
      </c>
      <c r="AA205" s="4">
        <f t="shared" si="61"/>
        <v>3.1061207054372285E-2</v>
      </c>
      <c r="AB205">
        <f t="shared" si="69"/>
        <v>21.068525760925006</v>
      </c>
      <c r="AC205">
        <f t="shared" si="62"/>
        <v>3.2192752994017616E-2</v>
      </c>
      <c r="AE205">
        <f t="shared" si="63"/>
        <v>115.80671723739098</v>
      </c>
      <c r="AF205">
        <f t="shared" si="64"/>
        <v>4.517261709861442E-3</v>
      </c>
      <c r="AH205">
        <v>8.7336088494073053E-3</v>
      </c>
      <c r="AI205">
        <v>1.4414346715961313E-2</v>
      </c>
      <c r="AJ205">
        <v>2.088568497744127E-3</v>
      </c>
      <c r="AK205">
        <v>5.6380096187917238E-4</v>
      </c>
      <c r="AL205">
        <v>8.4465201220894522E-3</v>
      </c>
    </row>
    <row r="206" spans="1:38" x14ac:dyDescent="0.3">
      <c r="A206" s="1">
        <v>46014</v>
      </c>
      <c r="B206" s="2">
        <v>1016.9</v>
      </c>
      <c r="C206">
        <f t="shared" si="53"/>
        <v>-3.8205329153604794E-3</v>
      </c>
      <c r="D206">
        <f t="shared" si="65"/>
        <v>21.296335078534028</v>
      </c>
      <c r="E206">
        <f t="shared" si="54"/>
        <v>-4.879208932421995E-3</v>
      </c>
      <c r="G206" s="1">
        <v>46014</v>
      </c>
      <c r="H206">
        <v>382.2</v>
      </c>
      <c r="I206">
        <f t="shared" si="55"/>
        <v>3.6764705882352342E-3</v>
      </c>
      <c r="J206">
        <f t="shared" si="66"/>
        <v>28.94611127293912</v>
      </c>
      <c r="K206">
        <f t="shared" si="56"/>
        <v>3.1554925942351565E-3</v>
      </c>
      <c r="M206" s="1">
        <v>46014</v>
      </c>
      <c r="N206" s="2">
        <v>11678</v>
      </c>
      <c r="O206">
        <f t="shared" si="57"/>
        <v>1.2660423170308707E-2</v>
      </c>
      <c r="P206">
        <f t="shared" si="67"/>
        <v>15.648686546735409</v>
      </c>
      <c r="Q206">
        <f t="shared" si="58"/>
        <v>1.1695156924138691E-2</v>
      </c>
      <c r="S206" s="1">
        <v>46014</v>
      </c>
      <c r="T206">
        <v>971.9</v>
      </c>
      <c r="U206">
        <f t="shared" si="59"/>
        <v>-2.4633069896335597E-3</v>
      </c>
      <c r="V206">
        <f t="shared" si="68"/>
        <v>28.995453899701651</v>
      </c>
      <c r="W206">
        <f t="shared" si="60"/>
        <v>-4.712661365077286E-3</v>
      </c>
      <c r="Y206" s="1">
        <v>46014</v>
      </c>
      <c r="Z206" s="2">
        <v>1668.3</v>
      </c>
      <c r="AA206" s="4">
        <f t="shared" si="61"/>
        <v>-1.2606534090909064E-2</v>
      </c>
      <c r="AB206">
        <f t="shared" si="69"/>
        <v>20.80292467267471</v>
      </c>
      <c r="AC206">
        <f t="shared" si="62"/>
        <v>-1.1474988151263729E-2</v>
      </c>
      <c r="AE206">
        <f t="shared" si="63"/>
        <v>115.68951147058492</v>
      </c>
      <c r="AF206">
        <f t="shared" si="64"/>
        <v>-1.0120809017132304E-3</v>
      </c>
      <c r="AH206">
        <v>-1.1566288038183205E-3</v>
      </c>
      <c r="AI206">
        <v>1.3596590299111921E-4</v>
      </c>
      <c r="AJ206">
        <v>2.1662577621807148E-3</v>
      </c>
      <c r="AK206">
        <v>-8.3699297095251313E-3</v>
      </c>
      <c r="AL206">
        <v>3.2192752994017616E-2</v>
      </c>
    </row>
    <row r="207" spans="1:38" x14ac:dyDescent="0.3">
      <c r="A207" s="1">
        <v>46015</v>
      </c>
      <c r="B207" s="2">
        <v>1015</v>
      </c>
      <c r="C207">
        <f t="shared" si="53"/>
        <v>-1.8684236404759339E-3</v>
      </c>
      <c r="D207">
        <f t="shared" si="65"/>
        <v>21.2565445026178</v>
      </c>
      <c r="E207">
        <f t="shared" si="54"/>
        <v>-2.9270996575374488E-3</v>
      </c>
      <c r="G207" s="1">
        <v>46015</v>
      </c>
      <c r="H207">
        <v>379.7</v>
      </c>
      <c r="I207">
        <f t="shared" si="55"/>
        <v>-6.5410779696493983E-3</v>
      </c>
      <c r="J207">
        <f t="shared" si="66"/>
        <v>28.756772502184678</v>
      </c>
      <c r="K207">
        <f t="shared" si="56"/>
        <v>-7.0620559636494756E-3</v>
      </c>
      <c r="M207" s="1">
        <v>46015</v>
      </c>
      <c r="N207" s="2">
        <v>11764</v>
      </c>
      <c r="O207">
        <f t="shared" si="57"/>
        <v>7.364274704572701E-3</v>
      </c>
      <c r="P207">
        <f t="shared" si="67"/>
        <v>15.763927773231321</v>
      </c>
      <c r="Q207">
        <f t="shared" si="58"/>
        <v>6.399008458402685E-3</v>
      </c>
      <c r="S207" s="1">
        <v>46015</v>
      </c>
      <c r="T207">
        <v>968.95</v>
      </c>
      <c r="U207">
        <f t="shared" si="59"/>
        <v>-3.0352916966765427E-3</v>
      </c>
      <c r="V207">
        <f t="shared" si="68"/>
        <v>28.907444239238522</v>
      </c>
      <c r="W207">
        <f t="shared" si="60"/>
        <v>-5.2846460721202694E-3</v>
      </c>
      <c r="Y207" s="1">
        <v>46015</v>
      </c>
      <c r="Z207" s="2">
        <v>1663.4</v>
      </c>
      <c r="AA207" s="4">
        <f t="shared" si="61"/>
        <v>-2.9371216208115229E-3</v>
      </c>
      <c r="AB207">
        <f t="shared" si="69"/>
        <v>20.741823952842484</v>
      </c>
      <c r="AC207">
        <f t="shared" si="62"/>
        <v>-1.8055756811661884E-3</v>
      </c>
      <c r="AE207">
        <f t="shared" si="63"/>
        <v>115.4265129701148</v>
      </c>
      <c r="AF207">
        <f t="shared" si="64"/>
        <v>-2.2733132600096795E-3</v>
      </c>
      <c r="AH207">
        <v>-4.879208932421995E-3</v>
      </c>
      <c r="AI207">
        <v>3.1554925942351565E-3</v>
      </c>
      <c r="AJ207">
        <v>1.1695156924138691E-2</v>
      </c>
      <c r="AK207">
        <v>-4.712661365077286E-3</v>
      </c>
      <c r="AL207">
        <v>-1.1474988151263729E-2</v>
      </c>
    </row>
    <row r="208" spans="1:38" x14ac:dyDescent="0.3">
      <c r="A208" s="1">
        <v>46017</v>
      </c>
      <c r="B208" s="2">
        <v>1018.1</v>
      </c>
      <c r="C208">
        <f t="shared" si="53"/>
        <v>3.0541871921182491E-3</v>
      </c>
      <c r="D208">
        <f t="shared" si="65"/>
        <v>21.321465968586384</v>
      </c>
      <c r="E208">
        <f t="shared" si="54"/>
        <v>1.995511175056734E-3</v>
      </c>
      <c r="G208" s="1">
        <v>46017</v>
      </c>
      <c r="H208">
        <v>379.55</v>
      </c>
      <c r="I208">
        <f t="shared" si="55"/>
        <v>-3.950487226757368E-4</v>
      </c>
      <c r="J208">
        <f t="shared" si="66"/>
        <v>28.745412175939414</v>
      </c>
      <c r="K208">
        <f t="shared" si="56"/>
        <v>-9.1602671667581452E-4</v>
      </c>
      <c r="M208" s="1">
        <v>46017</v>
      </c>
      <c r="N208" s="2">
        <v>11794</v>
      </c>
      <c r="O208">
        <f t="shared" si="57"/>
        <v>2.5501530091805507E-3</v>
      </c>
      <c r="P208">
        <f t="shared" si="67"/>
        <v>15.804128201078731</v>
      </c>
      <c r="Q208">
        <f t="shared" si="58"/>
        <v>1.5848867630105345E-3</v>
      </c>
      <c r="S208" s="1">
        <v>46017</v>
      </c>
      <c r="T208">
        <v>966.3</v>
      </c>
      <c r="U208">
        <f t="shared" si="59"/>
        <v>-2.7349192424790656E-3</v>
      </c>
      <c r="V208">
        <f t="shared" si="68"/>
        <v>28.828384713737741</v>
      </c>
      <c r="W208">
        <f t="shared" si="60"/>
        <v>-4.9842736179227919E-3</v>
      </c>
      <c r="Y208" s="1">
        <v>46017</v>
      </c>
      <c r="Z208" s="2">
        <v>1656.1</v>
      </c>
      <c r="AA208" s="4">
        <f t="shared" si="61"/>
        <v>-4.3886016592522437E-3</v>
      </c>
      <c r="AB208">
        <f t="shared" si="69"/>
        <v>20.650796349827122</v>
      </c>
      <c r="AC208">
        <f t="shared" si="62"/>
        <v>-3.2570557196069092E-3</v>
      </c>
      <c r="AE208">
        <f t="shared" si="63"/>
        <v>115.35018740916939</v>
      </c>
      <c r="AF208">
        <f t="shared" si="64"/>
        <v>-6.6124808747503039E-4</v>
      </c>
      <c r="AH208">
        <v>-2.9270996575374488E-3</v>
      </c>
      <c r="AI208">
        <v>-7.0620559636494756E-3</v>
      </c>
      <c r="AJ208">
        <v>6.399008458402685E-3</v>
      </c>
      <c r="AK208">
        <v>-5.2846460721202694E-3</v>
      </c>
      <c r="AL208">
        <v>-1.8055756811661884E-3</v>
      </c>
    </row>
    <row r="209" spans="1:38" x14ac:dyDescent="0.3">
      <c r="A209" s="1">
        <v>46020</v>
      </c>
      <c r="B209" s="2">
        <v>1001.9</v>
      </c>
      <c r="C209">
        <f t="shared" si="53"/>
        <v>-1.5911992928003188E-2</v>
      </c>
      <c r="D209">
        <f t="shared" si="65"/>
        <v>20.982198952879578</v>
      </c>
      <c r="E209">
        <f t="shared" si="54"/>
        <v>-1.6970668945064701E-2</v>
      </c>
      <c r="G209" s="1">
        <v>46020</v>
      </c>
      <c r="H209">
        <v>376.2</v>
      </c>
      <c r="I209">
        <f t="shared" si="55"/>
        <v>-8.8262416018970429E-3</v>
      </c>
      <c r="J209">
        <f t="shared" si="66"/>
        <v>28.491698223128459</v>
      </c>
      <c r="K209">
        <f t="shared" si="56"/>
        <v>-9.3472195958971202E-3</v>
      </c>
      <c r="M209" s="1">
        <v>46020</v>
      </c>
      <c r="N209" s="2">
        <v>11799</v>
      </c>
      <c r="O209">
        <f t="shared" si="57"/>
        <v>4.2394437849754114E-4</v>
      </c>
      <c r="P209">
        <f t="shared" si="67"/>
        <v>15.810828272386631</v>
      </c>
      <c r="Q209">
        <f t="shared" si="58"/>
        <v>-5.4132186767247509E-4</v>
      </c>
      <c r="S209" s="1">
        <v>46020</v>
      </c>
      <c r="T209">
        <v>965.05</v>
      </c>
      <c r="U209">
        <f t="shared" si="59"/>
        <v>-1.2935941219083102E-3</v>
      </c>
      <c r="V209">
        <f t="shared" si="68"/>
        <v>28.791092484727937</v>
      </c>
      <c r="W209">
        <f t="shared" si="60"/>
        <v>-3.5429484973520369E-3</v>
      </c>
      <c r="Y209" s="1">
        <v>46020</v>
      </c>
      <c r="Z209" s="2">
        <v>1644.7</v>
      </c>
      <c r="AA209" s="4">
        <f t="shared" si="61"/>
        <v>-6.8836422921320353E-3</v>
      </c>
      <c r="AB209">
        <f t="shared" si="69"/>
        <v>20.508643654707246</v>
      </c>
      <c r="AC209">
        <f t="shared" si="62"/>
        <v>-5.7520963524867012E-3</v>
      </c>
      <c r="AE209">
        <f t="shared" si="63"/>
        <v>114.58446158782985</v>
      </c>
      <c r="AF209">
        <f t="shared" si="64"/>
        <v>-6.6382711509896941E-3</v>
      </c>
      <c r="AH209">
        <v>1.995511175056734E-3</v>
      </c>
      <c r="AI209">
        <v>-9.1602671667581452E-4</v>
      </c>
      <c r="AJ209">
        <v>1.5848867630105345E-3</v>
      </c>
      <c r="AK209">
        <v>-4.9842736179227919E-3</v>
      </c>
      <c r="AL209">
        <v>-3.2570557196069092E-3</v>
      </c>
    </row>
    <row r="210" spans="1:38" x14ac:dyDescent="0.3">
      <c r="A210" s="1">
        <v>46021</v>
      </c>
      <c r="B210" s="2">
        <v>1007.1</v>
      </c>
      <c r="C210">
        <f t="shared" si="53"/>
        <v>5.1901387364008842E-3</v>
      </c>
      <c r="D210">
        <f t="shared" si="65"/>
        <v>21.091099476439787</v>
      </c>
      <c r="E210">
        <f t="shared" si="54"/>
        <v>4.1314627193393691E-3</v>
      </c>
      <c r="G210" s="1">
        <v>46021</v>
      </c>
      <c r="H210">
        <v>374.35</v>
      </c>
      <c r="I210">
        <f t="shared" si="55"/>
        <v>-4.9175970228600907E-3</v>
      </c>
      <c r="J210">
        <f t="shared" si="66"/>
        <v>28.351587532770175</v>
      </c>
      <c r="K210">
        <f t="shared" si="56"/>
        <v>-5.4385750168601688E-3</v>
      </c>
      <c r="M210" s="1">
        <v>46021</v>
      </c>
      <c r="N210" s="2">
        <v>11705</v>
      </c>
      <c r="O210">
        <f t="shared" si="57"/>
        <v>-7.9667768454953804E-3</v>
      </c>
      <c r="P210">
        <f t="shared" si="67"/>
        <v>15.684866931798078</v>
      </c>
      <c r="Q210">
        <f t="shared" si="58"/>
        <v>-8.9320430916653964E-3</v>
      </c>
      <c r="S210" s="1">
        <v>46021</v>
      </c>
      <c r="T210">
        <v>973.45</v>
      </c>
      <c r="U210">
        <f t="shared" si="59"/>
        <v>8.70421221698367E-3</v>
      </c>
      <c r="V210">
        <f t="shared" si="68"/>
        <v>29.04169626367381</v>
      </c>
      <c r="W210">
        <f t="shared" si="60"/>
        <v>6.4548578415399432E-3</v>
      </c>
      <c r="Y210" s="1">
        <v>46021</v>
      </c>
      <c r="Z210" s="2">
        <v>1621.6</v>
      </c>
      <c r="AA210" s="4">
        <f t="shared" si="61"/>
        <v>-1.404511461056736E-2</v>
      </c>
      <c r="AB210">
        <f t="shared" si="69"/>
        <v>20.220597404069597</v>
      </c>
      <c r="AC210">
        <f t="shared" si="62"/>
        <v>-1.2913568670922025E-2</v>
      </c>
      <c r="AE210">
        <f t="shared" si="63"/>
        <v>114.38984760875144</v>
      </c>
      <c r="AF210">
        <f t="shared" si="64"/>
        <v>-1.6984325481971263E-3</v>
      </c>
      <c r="AH210">
        <v>-1.6970668945064701E-2</v>
      </c>
      <c r="AI210">
        <v>-9.3472195958971202E-3</v>
      </c>
      <c r="AJ210">
        <v>-5.4132186767247509E-4</v>
      </c>
      <c r="AK210">
        <v>-3.5429484973520369E-3</v>
      </c>
      <c r="AL210">
        <v>-5.7520963524867012E-3</v>
      </c>
    </row>
    <row r="211" spans="1:38" x14ac:dyDescent="0.3">
      <c r="A211" s="1">
        <v>46022</v>
      </c>
      <c r="B211" s="2">
        <v>1015.1</v>
      </c>
      <c r="C211">
        <f t="shared" si="53"/>
        <v>7.9436004368980233E-3</v>
      </c>
      <c r="D211">
        <f t="shared" si="65"/>
        <v>21.258638743455492</v>
      </c>
      <c r="E211">
        <f t="shared" si="54"/>
        <v>6.8849244198365082E-3</v>
      </c>
      <c r="G211" s="1">
        <v>46022</v>
      </c>
      <c r="H211">
        <v>379.6</v>
      </c>
      <c r="I211">
        <f t="shared" si="55"/>
        <v>1.4024308801923333E-2</v>
      </c>
      <c r="J211">
        <f t="shared" si="66"/>
        <v>28.749198951354504</v>
      </c>
      <c r="K211">
        <f t="shared" si="56"/>
        <v>1.3503330807923255E-2</v>
      </c>
      <c r="M211" s="1">
        <v>46022</v>
      </c>
      <c r="N211" s="2">
        <v>11784</v>
      </c>
      <c r="O211">
        <f t="shared" si="57"/>
        <v>6.7492524562152928E-3</v>
      </c>
      <c r="P211">
        <f t="shared" si="67"/>
        <v>15.790728058462928</v>
      </c>
      <c r="Q211">
        <f t="shared" si="58"/>
        <v>5.7839862100452768E-3</v>
      </c>
      <c r="S211" s="1">
        <v>46022</v>
      </c>
      <c r="T211">
        <v>982.2</v>
      </c>
      <c r="U211">
        <f t="shared" si="59"/>
        <v>8.9886486208844828E-3</v>
      </c>
      <c r="V211">
        <f t="shared" si="68"/>
        <v>29.30274186674243</v>
      </c>
      <c r="W211">
        <f t="shared" si="60"/>
        <v>6.7392942454407561E-3</v>
      </c>
      <c r="Y211" s="1">
        <v>46022</v>
      </c>
      <c r="Z211" s="2">
        <v>1615.4</v>
      </c>
      <c r="AA211" s="4">
        <f t="shared" si="61"/>
        <v>-3.8233843117907117E-3</v>
      </c>
      <c r="AB211">
        <f t="shared" si="69"/>
        <v>20.143286289179841</v>
      </c>
      <c r="AC211">
        <f t="shared" si="62"/>
        <v>-2.6918383721453772E-3</v>
      </c>
      <c r="AE211">
        <f t="shared" si="63"/>
        <v>115.24459390919519</v>
      </c>
      <c r="AF211">
        <f t="shared" si="64"/>
        <v>7.4722216902258776E-3</v>
      </c>
      <c r="AH211">
        <v>4.1314627193393691E-3</v>
      </c>
      <c r="AI211">
        <v>-5.4385750168601688E-3</v>
      </c>
      <c r="AJ211">
        <v>-8.9320430916653964E-3</v>
      </c>
      <c r="AK211">
        <v>6.4548578415399432E-3</v>
      </c>
      <c r="AL211">
        <v>-1.2913568670922025E-2</v>
      </c>
    </row>
    <row r="212" spans="1:38" x14ac:dyDescent="0.3">
      <c r="A212" s="1">
        <v>46023</v>
      </c>
      <c r="B212" s="2">
        <v>1025.9000000000001</v>
      </c>
      <c r="C212">
        <f t="shared" si="53"/>
        <v>1.063934587725354E-2</v>
      </c>
      <c r="D212">
        <f t="shared" si="65"/>
        <v>21.484816753926697</v>
      </c>
      <c r="E212">
        <f t="shared" si="54"/>
        <v>9.5806698601920252E-3</v>
      </c>
      <c r="G212" s="1">
        <v>46023</v>
      </c>
      <c r="H212">
        <v>381.85</v>
      </c>
      <c r="I212">
        <f t="shared" si="55"/>
        <v>5.9272918861959954E-3</v>
      </c>
      <c r="J212">
        <f t="shared" si="66"/>
        <v>28.9196038450335</v>
      </c>
      <c r="K212">
        <f t="shared" si="56"/>
        <v>5.4063138921959172E-3</v>
      </c>
      <c r="M212" s="1">
        <v>46023</v>
      </c>
      <c r="N212" s="2">
        <v>11901</v>
      </c>
      <c r="O212">
        <f t="shared" si="57"/>
        <v>9.9287169042769855E-3</v>
      </c>
      <c r="P212">
        <f t="shared" si="67"/>
        <v>15.94750972706783</v>
      </c>
      <c r="Q212">
        <f t="shared" si="58"/>
        <v>8.9634506581069695E-3</v>
      </c>
      <c r="S212" s="1">
        <v>46023</v>
      </c>
      <c r="T212">
        <v>984.75</v>
      </c>
      <c r="U212">
        <f t="shared" si="59"/>
        <v>2.5962125839950668E-3</v>
      </c>
      <c r="V212">
        <f t="shared" si="68"/>
        <v>29.378818013922427</v>
      </c>
      <c r="W212">
        <f t="shared" si="60"/>
        <v>3.4685820855134006E-4</v>
      </c>
      <c r="Y212" s="1">
        <v>46023</v>
      </c>
      <c r="Z212" s="2">
        <v>1629.8</v>
      </c>
      <c r="AA212" s="4">
        <f t="shared" si="61"/>
        <v>8.9142008171349905E-3</v>
      </c>
      <c r="AB212">
        <f t="shared" si="69"/>
        <v>20.322847588278631</v>
      </c>
      <c r="AC212">
        <f t="shared" si="62"/>
        <v>1.0045746756780325E-2</v>
      </c>
      <c r="AE212">
        <f t="shared" si="63"/>
        <v>116.05359592822909</v>
      </c>
      <c r="AF212">
        <f t="shared" si="64"/>
        <v>7.0198695799243982E-3</v>
      </c>
      <c r="AH212">
        <v>6.8849244198365082E-3</v>
      </c>
      <c r="AI212">
        <v>1.3503330807923255E-2</v>
      </c>
      <c r="AJ212">
        <v>5.7839862100452768E-3</v>
      </c>
      <c r="AK212">
        <v>6.7392942454407561E-3</v>
      </c>
      <c r="AL212">
        <v>-2.6918383721453772E-3</v>
      </c>
    </row>
    <row r="213" spans="1:38" x14ac:dyDescent="0.3">
      <c r="A213" s="1">
        <v>46024</v>
      </c>
      <c r="B213" s="2">
        <v>1038.8</v>
      </c>
      <c r="C213">
        <f t="shared" si="53"/>
        <v>1.2574324982941674E-2</v>
      </c>
      <c r="D213">
        <f t="shared" si="65"/>
        <v>21.754973821989523</v>
      </c>
      <c r="E213">
        <f t="shared" si="54"/>
        <v>1.1515648965880159E-2</v>
      </c>
      <c r="G213" s="1">
        <v>46024</v>
      </c>
      <c r="H213">
        <v>393.1</v>
      </c>
      <c r="I213">
        <f t="shared" si="55"/>
        <v>2.94618305617389E-2</v>
      </c>
      <c r="J213">
        <f t="shared" si="66"/>
        <v>29.77162831342849</v>
      </c>
      <c r="K213">
        <f t="shared" si="56"/>
        <v>2.8940852567738821E-2</v>
      </c>
      <c r="M213" s="1">
        <v>46024</v>
      </c>
      <c r="N213" s="2">
        <v>11899</v>
      </c>
      <c r="O213">
        <f t="shared" si="57"/>
        <v>-1.6805310478111083E-4</v>
      </c>
      <c r="P213">
        <f t="shared" si="67"/>
        <v>15.94482969854467</v>
      </c>
      <c r="Q213">
        <f t="shared" si="58"/>
        <v>-1.1333193509511271E-3</v>
      </c>
      <c r="S213" s="1">
        <v>46024</v>
      </c>
      <c r="T213">
        <v>998.95</v>
      </c>
      <c r="U213">
        <f t="shared" si="59"/>
        <v>1.4419903528814466E-2</v>
      </c>
      <c r="V213">
        <f t="shared" si="68"/>
        <v>29.802457735473784</v>
      </c>
      <c r="W213">
        <f t="shared" si="60"/>
        <v>1.2170549153370739E-2</v>
      </c>
      <c r="Y213" s="1">
        <v>46024</v>
      </c>
      <c r="Z213" s="2">
        <v>1640.4</v>
      </c>
      <c r="AA213" s="4">
        <f t="shared" si="61"/>
        <v>6.5038655049700191E-3</v>
      </c>
      <c r="AB213">
        <f t="shared" si="69"/>
        <v>20.455024655670801</v>
      </c>
      <c r="AC213">
        <f t="shared" si="62"/>
        <v>7.6354114446153531E-3</v>
      </c>
      <c r="AE213">
        <f t="shared" si="63"/>
        <v>117.72891422510727</v>
      </c>
      <c r="AF213">
        <f t="shared" si="64"/>
        <v>1.4435729315223078E-2</v>
      </c>
      <c r="AH213">
        <v>9.5806698601920252E-3</v>
      </c>
      <c r="AI213">
        <v>5.4063138921959172E-3</v>
      </c>
      <c r="AJ213">
        <v>8.9634506581069695E-3</v>
      </c>
      <c r="AK213">
        <v>3.4685820855134006E-4</v>
      </c>
      <c r="AL213">
        <v>1.0045746756780325E-2</v>
      </c>
    </row>
    <row r="214" spans="1:38" x14ac:dyDescent="0.3">
      <c r="A214" s="1">
        <v>46027</v>
      </c>
      <c r="B214" s="2">
        <v>1030.5</v>
      </c>
      <c r="C214">
        <f t="shared" si="53"/>
        <v>-7.9899884482094296E-3</v>
      </c>
      <c r="D214">
        <f t="shared" si="65"/>
        <v>21.58115183246073</v>
      </c>
      <c r="E214">
        <f t="shared" si="54"/>
        <v>-9.0486644652709447E-3</v>
      </c>
      <c r="G214" s="1">
        <v>46027</v>
      </c>
      <c r="H214">
        <v>388.85</v>
      </c>
      <c r="I214">
        <f t="shared" si="55"/>
        <v>-1.0811498346476723E-2</v>
      </c>
      <c r="J214">
        <f t="shared" si="66"/>
        <v>29.449752403145936</v>
      </c>
      <c r="K214">
        <f t="shared" si="56"/>
        <v>-1.1332476340476801E-2</v>
      </c>
      <c r="M214" s="1">
        <v>46027</v>
      </c>
      <c r="N214" s="2">
        <v>12087</v>
      </c>
      <c r="O214">
        <f t="shared" si="57"/>
        <v>1.5799647029162114E-2</v>
      </c>
      <c r="P214">
        <f t="shared" si="67"/>
        <v>16.196752379721776</v>
      </c>
      <c r="Q214">
        <f t="shared" si="58"/>
        <v>1.4834380782992098E-2</v>
      </c>
      <c r="S214" s="1">
        <v>46027</v>
      </c>
      <c r="T214" s="2">
        <v>1005.55</v>
      </c>
      <c r="U214">
        <f t="shared" si="59"/>
        <v>6.6069372841482642E-3</v>
      </c>
      <c r="V214">
        <f t="shared" si="68"/>
        <v>29.999360704645536</v>
      </c>
      <c r="W214">
        <f t="shared" si="60"/>
        <v>4.3575829087045374E-3</v>
      </c>
      <c r="Y214" s="1">
        <v>46027</v>
      </c>
      <c r="Z214" s="2">
        <v>1606.4</v>
      </c>
      <c r="AA214" s="4">
        <f t="shared" si="61"/>
        <v>-2.0726652036088759E-2</v>
      </c>
      <c r="AB214">
        <f t="shared" si="69"/>
        <v>20.031060477243095</v>
      </c>
      <c r="AC214">
        <f t="shared" si="62"/>
        <v>-1.9595106096443424E-2</v>
      </c>
      <c r="AE214">
        <f t="shared" si="63"/>
        <v>117.25807779721707</v>
      </c>
      <c r="AF214">
        <f t="shared" si="64"/>
        <v>-3.9993270216518439E-3</v>
      </c>
      <c r="AH214">
        <v>1.1515648965880159E-2</v>
      </c>
      <c r="AI214">
        <v>2.8940852567738821E-2</v>
      </c>
      <c r="AJ214">
        <v>-1.1333193509511271E-3</v>
      </c>
      <c r="AK214">
        <v>1.2170549153370739E-2</v>
      </c>
      <c r="AL214">
        <v>7.6354114446153531E-3</v>
      </c>
    </row>
    <row r="215" spans="1:38" x14ac:dyDescent="0.3">
      <c r="A215" s="1">
        <v>46028</v>
      </c>
      <c r="B215" s="2">
        <v>1019.4</v>
      </c>
      <c r="C215">
        <f t="shared" si="53"/>
        <v>-1.077147016011647E-2</v>
      </c>
      <c r="D215">
        <f t="shared" si="65"/>
        <v>21.348691099476437</v>
      </c>
      <c r="E215">
        <f t="shared" si="54"/>
        <v>-1.1830146177177986E-2</v>
      </c>
      <c r="G215" s="1">
        <v>46028</v>
      </c>
      <c r="H215">
        <v>386.5</v>
      </c>
      <c r="I215">
        <f t="shared" si="55"/>
        <v>-6.0434614890061012E-3</v>
      </c>
      <c r="J215">
        <f t="shared" si="66"/>
        <v>29.271773958636757</v>
      </c>
      <c r="K215">
        <f t="shared" si="56"/>
        <v>-6.5644394830061785E-3</v>
      </c>
      <c r="M215" s="1">
        <v>46028</v>
      </c>
      <c r="N215" s="2">
        <v>12204</v>
      </c>
      <c r="O215">
        <f t="shared" si="57"/>
        <v>9.6798212956068497E-3</v>
      </c>
      <c r="P215">
        <f t="shared" si="67"/>
        <v>16.353534048326679</v>
      </c>
      <c r="Q215">
        <f t="shared" si="58"/>
        <v>8.7145550494368337E-3</v>
      </c>
      <c r="S215" s="1">
        <v>46028</v>
      </c>
      <c r="T215" s="2">
        <v>1018.9</v>
      </c>
      <c r="U215">
        <f t="shared" si="59"/>
        <v>1.3276316443737281E-2</v>
      </c>
      <c r="V215">
        <f t="shared" si="68"/>
        <v>30.397641710470229</v>
      </c>
      <c r="W215">
        <f t="shared" si="60"/>
        <v>1.1026962068293554E-2</v>
      </c>
      <c r="Y215" s="1">
        <v>46028</v>
      </c>
      <c r="Z215" s="2">
        <v>1612.2</v>
      </c>
      <c r="AA215" s="4">
        <f t="shared" si="61"/>
        <v>3.6105577689242744E-3</v>
      </c>
      <c r="AB215">
        <f t="shared" si="69"/>
        <v>20.103383778268999</v>
      </c>
      <c r="AC215">
        <f t="shared" si="62"/>
        <v>4.7421037085696085E-3</v>
      </c>
      <c r="AE215">
        <f t="shared" si="63"/>
        <v>117.47502459517911</v>
      </c>
      <c r="AF215">
        <f t="shared" si="64"/>
        <v>1.8501650550439841E-3</v>
      </c>
      <c r="AH215">
        <v>-9.0486644652709447E-3</v>
      </c>
      <c r="AI215">
        <v>-1.1332476340476801E-2</v>
      </c>
      <c r="AJ215">
        <v>1.4834380782992098E-2</v>
      </c>
      <c r="AK215">
        <v>4.3575829087045374E-3</v>
      </c>
      <c r="AL215">
        <v>-1.9595106096443424E-2</v>
      </c>
    </row>
    <row r="216" spans="1:38" x14ac:dyDescent="0.3">
      <c r="A216" s="1">
        <v>46029</v>
      </c>
      <c r="B216" s="2">
        <v>1019.2</v>
      </c>
      <c r="C216">
        <f t="shared" si="53"/>
        <v>-1.9619383951337236E-4</v>
      </c>
      <c r="D216">
        <f t="shared" si="65"/>
        <v>21.344502617801044</v>
      </c>
      <c r="E216">
        <f t="shared" si="54"/>
        <v>-1.2548698565748874E-3</v>
      </c>
      <c r="G216" s="1">
        <v>46029</v>
      </c>
      <c r="H216">
        <v>380.75</v>
      </c>
      <c r="I216">
        <f t="shared" si="55"/>
        <v>-1.4877102199223804E-2</v>
      </c>
      <c r="J216">
        <f t="shared" si="66"/>
        <v>28.83629478590154</v>
      </c>
      <c r="K216">
        <f t="shared" si="56"/>
        <v>-1.5398080193223881E-2</v>
      </c>
      <c r="M216" s="1">
        <v>46029</v>
      </c>
      <c r="N216" s="2">
        <v>12184</v>
      </c>
      <c r="O216">
        <f t="shared" si="57"/>
        <v>-1.6388069485414618E-3</v>
      </c>
      <c r="P216">
        <f t="shared" si="67"/>
        <v>16.326733763095071</v>
      </c>
      <c r="Q216">
        <f t="shared" si="58"/>
        <v>-2.604073194711478E-3</v>
      </c>
      <c r="S216" s="1">
        <v>46029</v>
      </c>
      <c r="T216" s="2">
        <v>1007.15</v>
      </c>
      <c r="U216">
        <f t="shared" si="59"/>
        <v>-1.1532044361566395E-2</v>
      </c>
      <c r="V216">
        <f t="shared" si="68"/>
        <v>30.047094757778083</v>
      </c>
      <c r="W216">
        <f t="shared" si="60"/>
        <v>-1.3781398737010122E-2</v>
      </c>
      <c r="Y216" s="1">
        <v>46029</v>
      </c>
      <c r="Z216" s="2">
        <v>1639</v>
      </c>
      <c r="AA216" s="4">
        <f t="shared" si="61"/>
        <v>1.6623247736012873E-2</v>
      </c>
      <c r="AB216">
        <f t="shared" si="69"/>
        <v>20.437567307147308</v>
      </c>
      <c r="AC216">
        <f t="shared" si="62"/>
        <v>1.7754793675658208E-2</v>
      </c>
      <c r="AE216">
        <f t="shared" si="63"/>
        <v>116.99219323172305</v>
      </c>
      <c r="AF216">
        <f t="shared" si="64"/>
        <v>-4.1100767173269936E-3</v>
      </c>
      <c r="AH216">
        <v>-1.1830146177177986E-2</v>
      </c>
      <c r="AI216">
        <v>-6.5644394830061785E-3</v>
      </c>
      <c r="AJ216">
        <v>8.7145550494368337E-3</v>
      </c>
      <c r="AK216">
        <v>1.1026962068293554E-2</v>
      </c>
      <c r="AL216">
        <v>4.7421037085696085E-3</v>
      </c>
    </row>
    <row r="217" spans="1:38" x14ac:dyDescent="0.3">
      <c r="A217" s="1">
        <v>46030</v>
      </c>
      <c r="B217">
        <v>988.8</v>
      </c>
      <c r="C217">
        <f t="shared" si="53"/>
        <v>-2.9827315541601344E-2</v>
      </c>
      <c r="D217">
        <f t="shared" si="65"/>
        <v>20.707853403141357</v>
      </c>
      <c r="E217">
        <f t="shared" si="54"/>
        <v>-3.0885991558662861E-2</v>
      </c>
      <c r="G217" s="1">
        <v>46030</v>
      </c>
      <c r="H217">
        <v>374.2</v>
      </c>
      <c r="I217">
        <f t="shared" si="55"/>
        <v>-1.7202889034799766E-2</v>
      </c>
      <c r="J217">
        <f t="shared" si="66"/>
        <v>28.340227206524901</v>
      </c>
      <c r="K217">
        <f t="shared" si="56"/>
        <v>-1.7723867028799845E-2</v>
      </c>
      <c r="M217" s="1">
        <v>46030</v>
      </c>
      <c r="N217" s="2">
        <v>12064</v>
      </c>
      <c r="O217">
        <f t="shared" si="57"/>
        <v>-9.8489822718319103E-3</v>
      </c>
      <c r="P217">
        <f t="shared" si="67"/>
        <v>16.165932051705425</v>
      </c>
      <c r="Q217">
        <f t="shared" si="58"/>
        <v>-1.0814248518001926E-2</v>
      </c>
      <c r="S217" s="1">
        <v>46030</v>
      </c>
      <c r="T217">
        <v>998</v>
      </c>
      <c r="U217">
        <f t="shared" si="59"/>
        <v>-9.0850419500570698E-3</v>
      </c>
      <c r="V217">
        <f t="shared" si="68"/>
        <v>29.774115641426327</v>
      </c>
      <c r="W217">
        <f t="shared" si="60"/>
        <v>-1.1334396325500797E-2</v>
      </c>
      <c r="Y217" s="1">
        <v>46030</v>
      </c>
      <c r="Z217" s="2">
        <v>1613.3</v>
      </c>
      <c r="AA217" s="4">
        <f t="shared" si="61"/>
        <v>-1.5680292861500942E-2</v>
      </c>
      <c r="AB217">
        <f t="shared" si="69"/>
        <v>20.117100266394601</v>
      </c>
      <c r="AC217">
        <f t="shared" si="62"/>
        <v>-1.4548746921855607E-2</v>
      </c>
      <c r="AE217">
        <f t="shared" si="63"/>
        <v>115.10522856919262</v>
      </c>
      <c r="AF217">
        <f t="shared" si="64"/>
        <v>-1.6128979296874735E-2</v>
      </c>
      <c r="AH217">
        <v>-1.2548698565748874E-3</v>
      </c>
      <c r="AI217">
        <v>-1.5398080193223881E-2</v>
      </c>
      <c r="AJ217">
        <v>-2.604073194711478E-3</v>
      </c>
      <c r="AK217">
        <v>-1.3781398737010122E-2</v>
      </c>
      <c r="AL217">
        <v>1.7754793675658208E-2</v>
      </c>
    </row>
    <row r="218" spans="1:38" x14ac:dyDescent="0.3">
      <c r="A218" s="1">
        <v>46031</v>
      </c>
      <c r="B218">
        <v>946.1</v>
      </c>
      <c r="C218">
        <f t="shared" si="53"/>
        <v>-4.3183656957928737E-2</v>
      </c>
      <c r="D218">
        <f t="shared" si="65"/>
        <v>19.813612565445023</v>
      </c>
      <c r="E218">
        <f t="shared" si="54"/>
        <v>-4.4242332974990251E-2</v>
      </c>
      <c r="G218" s="1">
        <v>46031</v>
      </c>
      <c r="H218">
        <v>364.8</v>
      </c>
      <c r="I218">
        <f t="shared" si="55"/>
        <v>-2.5120256547300848E-2</v>
      </c>
      <c r="J218">
        <f t="shared" si="66"/>
        <v>27.628313428488198</v>
      </c>
      <c r="K218">
        <f t="shared" si="56"/>
        <v>-2.5641234541300927E-2</v>
      </c>
      <c r="M218" s="1">
        <v>46031</v>
      </c>
      <c r="N218" s="2">
        <v>11937</v>
      </c>
      <c r="O218">
        <f t="shared" si="57"/>
        <v>-1.0527188328912467E-2</v>
      </c>
      <c r="P218">
        <f t="shared" si="67"/>
        <v>15.995750240484721</v>
      </c>
      <c r="Q218">
        <f t="shared" si="58"/>
        <v>-1.1492454575082483E-2</v>
      </c>
      <c r="S218" s="1">
        <v>46031</v>
      </c>
      <c r="T218" s="2">
        <v>1000.5</v>
      </c>
      <c r="U218">
        <f t="shared" si="59"/>
        <v>2.5050100200400801E-3</v>
      </c>
      <c r="V218">
        <f t="shared" si="68"/>
        <v>29.848700099445931</v>
      </c>
      <c r="W218">
        <f t="shared" si="60"/>
        <v>2.5565564459635332E-4</v>
      </c>
      <c r="Y218" s="1">
        <v>46031</v>
      </c>
      <c r="Z218" s="2">
        <v>1614.1</v>
      </c>
      <c r="AA218" s="4">
        <f t="shared" si="61"/>
        <v>4.9587801400852573E-4</v>
      </c>
      <c r="AB218">
        <f t="shared" si="69"/>
        <v>20.12707589412231</v>
      </c>
      <c r="AC218">
        <f t="shared" si="62"/>
        <v>1.6274239536538601E-3</v>
      </c>
      <c r="AE218">
        <f t="shared" si="63"/>
        <v>113.41345222798618</v>
      </c>
      <c r="AF218">
        <f t="shared" si="64"/>
        <v>-1.4697649813444125E-2</v>
      </c>
      <c r="AH218">
        <v>-3.0885991558662861E-2</v>
      </c>
      <c r="AI218">
        <v>-1.7723867028799845E-2</v>
      </c>
      <c r="AJ218">
        <v>-1.0814248518001926E-2</v>
      </c>
      <c r="AK218">
        <v>-1.1334396325500797E-2</v>
      </c>
      <c r="AL218">
        <v>-1.4548746921855607E-2</v>
      </c>
    </row>
    <row r="219" spans="1:38" x14ac:dyDescent="0.3">
      <c r="A219" s="1">
        <v>46034</v>
      </c>
      <c r="B219">
        <v>942.2</v>
      </c>
      <c r="C219">
        <f t="shared" si="53"/>
        <v>-4.1221858154528879E-3</v>
      </c>
      <c r="D219">
        <f t="shared" si="65"/>
        <v>19.731937172774867</v>
      </c>
      <c r="E219">
        <f t="shared" si="54"/>
        <v>-5.180861832514403E-3</v>
      </c>
      <c r="G219" s="1">
        <v>46034</v>
      </c>
      <c r="H219">
        <v>370.6</v>
      </c>
      <c r="I219">
        <f t="shared" si="55"/>
        <v>1.5899122807017576E-2</v>
      </c>
      <c r="J219">
        <f t="shared" si="66"/>
        <v>28.067579376638506</v>
      </c>
      <c r="K219">
        <f t="shared" si="56"/>
        <v>1.5378144813017499E-2</v>
      </c>
      <c r="M219" s="1">
        <v>46034</v>
      </c>
      <c r="N219" s="2">
        <v>12098</v>
      </c>
      <c r="O219">
        <f t="shared" si="57"/>
        <v>1.348747591522158E-2</v>
      </c>
      <c r="P219">
        <f t="shared" si="67"/>
        <v>16.211492536599156</v>
      </c>
      <c r="Q219">
        <f t="shared" si="58"/>
        <v>1.2522209669051564E-2</v>
      </c>
      <c r="S219" s="1">
        <v>46034</v>
      </c>
      <c r="T219" s="2">
        <v>1015.15</v>
      </c>
      <c r="U219">
        <f t="shared" si="59"/>
        <v>1.4642678660669643E-2</v>
      </c>
      <c r="V219">
        <f t="shared" si="68"/>
        <v>30.285765023440817</v>
      </c>
      <c r="W219">
        <f t="shared" si="60"/>
        <v>1.2393324285225917E-2</v>
      </c>
      <c r="Y219" s="1">
        <v>46034</v>
      </c>
      <c r="Z219" s="2">
        <v>1595.9</v>
      </c>
      <c r="AA219" s="4">
        <f t="shared" si="61"/>
        <v>-1.1275633479957759E-2</v>
      </c>
      <c r="AB219">
        <f t="shared" si="69"/>
        <v>19.900130363316894</v>
      </c>
      <c r="AC219">
        <f t="shared" si="62"/>
        <v>-1.0144087540312425E-2</v>
      </c>
      <c r="AE219">
        <f t="shared" si="63"/>
        <v>114.19690447277023</v>
      </c>
      <c r="AF219">
        <f t="shared" si="64"/>
        <v>6.9079304914299033E-3</v>
      </c>
      <c r="AH219">
        <v>-4.4242332974990251E-2</v>
      </c>
      <c r="AI219">
        <v>-2.5641234541300927E-2</v>
      </c>
      <c r="AJ219">
        <v>-1.1492454575082483E-2</v>
      </c>
      <c r="AK219">
        <v>2.5565564459635332E-4</v>
      </c>
      <c r="AL219">
        <v>1.6274239536538601E-3</v>
      </c>
    </row>
    <row r="220" spans="1:38" x14ac:dyDescent="0.3">
      <c r="A220" s="1">
        <v>46035</v>
      </c>
      <c r="B220">
        <v>936.7</v>
      </c>
      <c r="C220">
        <f t="shared" si="53"/>
        <v>-5.8374018255147528E-3</v>
      </c>
      <c r="D220">
        <f t="shared" si="65"/>
        <v>19.61675392670157</v>
      </c>
      <c r="E220">
        <f t="shared" si="54"/>
        <v>-6.8960778425762679E-3</v>
      </c>
      <c r="G220" s="1">
        <v>46035</v>
      </c>
      <c r="H220">
        <v>368.45</v>
      </c>
      <c r="I220">
        <f t="shared" si="55"/>
        <v>-5.8014031300594546E-3</v>
      </c>
      <c r="J220">
        <f t="shared" si="66"/>
        <v>27.90474803378968</v>
      </c>
      <c r="K220">
        <f t="shared" si="56"/>
        <v>-6.3223811240595319E-3</v>
      </c>
      <c r="M220" s="1">
        <v>46035</v>
      </c>
      <c r="N220" s="2">
        <v>12044</v>
      </c>
      <c r="O220">
        <f t="shared" si="57"/>
        <v>-4.4635476938336919E-3</v>
      </c>
      <c r="P220">
        <f t="shared" si="67"/>
        <v>16.139131766473817</v>
      </c>
      <c r="Q220">
        <f t="shared" si="58"/>
        <v>-5.4288139400037079E-3</v>
      </c>
      <c r="S220" s="1">
        <v>46035</v>
      </c>
      <c r="T220" s="2">
        <v>1028.45</v>
      </c>
      <c r="U220">
        <f t="shared" si="59"/>
        <v>1.310151209180916E-2</v>
      </c>
      <c r="V220">
        <f t="shared" si="68"/>
        <v>30.682554340105121</v>
      </c>
      <c r="W220">
        <f t="shared" si="60"/>
        <v>1.0852157716365433E-2</v>
      </c>
      <c r="Y220" s="1">
        <v>46035</v>
      </c>
      <c r="Z220" s="2">
        <v>1599</v>
      </c>
      <c r="AA220" s="4">
        <f t="shared" si="61"/>
        <v>1.9424775988469885E-3</v>
      </c>
      <c r="AB220">
        <f t="shared" si="69"/>
        <v>19.938785920761774</v>
      </c>
      <c r="AC220">
        <f t="shared" si="62"/>
        <v>3.0740235384923232E-3</v>
      </c>
      <c r="AE220">
        <f t="shared" si="63"/>
        <v>114.28197398783195</v>
      </c>
      <c r="AF220">
        <f t="shared" si="64"/>
        <v>7.4493713690815255E-4</v>
      </c>
      <c r="AH220">
        <v>-5.180861832514403E-3</v>
      </c>
      <c r="AI220">
        <v>1.5378144813017499E-2</v>
      </c>
      <c r="AJ220">
        <v>1.2522209669051564E-2</v>
      </c>
      <c r="AK220">
        <v>1.2393324285225917E-2</v>
      </c>
      <c r="AL220">
        <v>-1.0144087540312425E-2</v>
      </c>
    </row>
    <row r="221" spans="1:38" x14ac:dyDescent="0.3">
      <c r="A221" s="1">
        <v>46036</v>
      </c>
      <c r="B221">
        <v>935.3</v>
      </c>
      <c r="C221">
        <f t="shared" si="53"/>
        <v>-1.4946087327854071E-3</v>
      </c>
      <c r="D221">
        <f t="shared" si="65"/>
        <v>19.587434554973818</v>
      </c>
      <c r="E221">
        <f t="shared" si="54"/>
        <v>-2.5532847498469223E-3</v>
      </c>
      <c r="G221" s="1">
        <v>46036</v>
      </c>
      <c r="H221">
        <v>367.4</v>
      </c>
      <c r="I221">
        <f t="shared" si="55"/>
        <v>-2.8497760890216078E-3</v>
      </c>
      <c r="J221">
        <f t="shared" si="66"/>
        <v>27.825225750072814</v>
      </c>
      <c r="K221">
        <f t="shared" si="56"/>
        <v>-3.3707540830216856E-3</v>
      </c>
      <c r="M221" s="1">
        <v>46036</v>
      </c>
      <c r="N221" s="2">
        <v>12255</v>
      </c>
      <c r="O221">
        <f t="shared" si="57"/>
        <v>1.7519096645632681E-2</v>
      </c>
      <c r="P221">
        <f t="shared" si="67"/>
        <v>16.421874775667273</v>
      </c>
      <c r="Q221">
        <f t="shared" si="58"/>
        <v>1.6553830399462663E-2</v>
      </c>
      <c r="S221" s="1">
        <v>46036</v>
      </c>
      <c r="T221" s="2">
        <v>1028.3499999999999</v>
      </c>
      <c r="U221">
        <f t="shared" si="59"/>
        <v>-9.7233701200968853E-5</v>
      </c>
      <c r="V221">
        <f t="shared" si="68"/>
        <v>30.679570961784332</v>
      </c>
      <c r="W221">
        <f t="shared" si="60"/>
        <v>-2.3465880766446955E-3</v>
      </c>
      <c r="Y221" s="1">
        <v>46036</v>
      </c>
      <c r="Z221" s="2">
        <v>1599.8</v>
      </c>
      <c r="AA221" s="4">
        <f t="shared" si="61"/>
        <v>5.0031269543461825E-4</v>
      </c>
      <c r="AB221">
        <f t="shared" si="69"/>
        <v>19.948761548489482</v>
      </c>
      <c r="AC221">
        <f t="shared" si="62"/>
        <v>1.6318586350799527E-3</v>
      </c>
      <c r="AE221">
        <f t="shared" si="63"/>
        <v>114.46286759098771</v>
      </c>
      <c r="AF221">
        <f t="shared" si="64"/>
        <v>1.582870831186689E-3</v>
      </c>
      <c r="AH221">
        <v>-6.8960778425762679E-3</v>
      </c>
      <c r="AI221">
        <v>-6.3223811240595319E-3</v>
      </c>
      <c r="AJ221">
        <v>-5.4288139400037079E-3</v>
      </c>
      <c r="AK221">
        <v>1.0852157716365433E-2</v>
      </c>
      <c r="AL221">
        <v>3.0740235384923232E-3</v>
      </c>
    </row>
    <row r="222" spans="1:38" x14ac:dyDescent="0.3">
      <c r="A222" s="1">
        <v>46038</v>
      </c>
      <c r="B222">
        <v>930.1</v>
      </c>
      <c r="C222">
        <f t="shared" si="53"/>
        <v>-5.559713460921557E-3</v>
      </c>
      <c r="D222">
        <f t="shared" si="65"/>
        <v>19.478534031413609</v>
      </c>
      <c r="E222">
        <f t="shared" si="54"/>
        <v>-6.6183894779830721E-3</v>
      </c>
      <c r="G222" s="1">
        <v>46038</v>
      </c>
      <c r="H222">
        <v>366.1</v>
      </c>
      <c r="I222">
        <f t="shared" si="55"/>
        <v>-3.5383777898746723E-3</v>
      </c>
      <c r="J222">
        <f t="shared" si="66"/>
        <v>27.726769589280508</v>
      </c>
      <c r="K222">
        <f t="shared" si="56"/>
        <v>-4.0593557838747504E-3</v>
      </c>
      <c r="M222" s="1">
        <v>46038</v>
      </c>
      <c r="N222" s="2">
        <v>12378</v>
      </c>
      <c r="O222">
        <f t="shared" si="57"/>
        <v>1.0036719706242351E-2</v>
      </c>
      <c r="P222">
        <f t="shared" si="67"/>
        <v>16.586696529841657</v>
      </c>
      <c r="Q222">
        <f t="shared" si="58"/>
        <v>9.0714534600723346E-3</v>
      </c>
      <c r="S222" s="1">
        <v>46038</v>
      </c>
      <c r="T222" s="2">
        <v>1042.3</v>
      </c>
      <c r="U222">
        <f t="shared" si="59"/>
        <v>1.3565420333544072E-2</v>
      </c>
      <c r="V222">
        <f t="shared" si="68"/>
        <v>31.095752237533727</v>
      </c>
      <c r="W222">
        <f t="shared" si="60"/>
        <v>1.1316065958100346E-2</v>
      </c>
      <c r="Y222" s="1">
        <v>46038</v>
      </c>
      <c r="Z222" s="2">
        <v>1689.8</v>
      </c>
      <c r="AA222" s="4">
        <f t="shared" si="61"/>
        <v>5.625703212901613E-2</v>
      </c>
      <c r="AB222">
        <f t="shared" si="69"/>
        <v>21.071019667856937</v>
      </c>
      <c r="AC222">
        <f t="shared" si="62"/>
        <v>5.7388578068661461E-2</v>
      </c>
      <c r="AE222">
        <f t="shared" si="63"/>
        <v>115.95877205592643</v>
      </c>
      <c r="AF222">
        <f t="shared" si="64"/>
        <v>1.3068906069032549E-2</v>
      </c>
      <c r="AH222">
        <v>-2.5532847498469223E-3</v>
      </c>
      <c r="AI222">
        <v>-3.3707540830216856E-3</v>
      </c>
      <c r="AJ222">
        <v>1.6553830399462663E-2</v>
      </c>
      <c r="AK222">
        <v>-2.3465880766446955E-3</v>
      </c>
      <c r="AL222">
        <v>1.6318586350799527E-3</v>
      </c>
    </row>
    <row r="223" spans="1:38" x14ac:dyDescent="0.3">
      <c r="A223" s="1">
        <v>46041</v>
      </c>
      <c r="B223">
        <v>914</v>
      </c>
      <c r="C223">
        <f t="shared" si="53"/>
        <v>-1.7309966670250535E-2</v>
      </c>
      <c r="D223">
        <f t="shared" si="65"/>
        <v>19.141361256544499</v>
      </c>
      <c r="E223">
        <f t="shared" si="54"/>
        <v>-1.8368642687312052E-2</v>
      </c>
      <c r="G223" s="1">
        <v>46041</v>
      </c>
      <c r="H223">
        <v>363.2</v>
      </c>
      <c r="I223">
        <f t="shared" si="55"/>
        <v>-7.9213329691342083E-3</v>
      </c>
      <c r="J223">
        <f t="shared" si="66"/>
        <v>27.507136615205351</v>
      </c>
      <c r="K223">
        <f t="shared" si="56"/>
        <v>-8.4423109631342856E-3</v>
      </c>
      <c r="M223" s="1">
        <v>46041</v>
      </c>
      <c r="N223" s="2">
        <v>12297</v>
      </c>
      <c r="O223">
        <f t="shared" si="57"/>
        <v>-6.5438681531749879E-3</v>
      </c>
      <c r="P223">
        <f t="shared" si="67"/>
        <v>16.47815537465365</v>
      </c>
      <c r="Q223">
        <f t="shared" si="58"/>
        <v>-7.5091343993450039E-3</v>
      </c>
      <c r="S223" s="1">
        <v>46041</v>
      </c>
      <c r="T223" s="2">
        <v>1038.4000000000001</v>
      </c>
      <c r="U223">
        <f t="shared" si="59"/>
        <v>-3.7417250311809112E-3</v>
      </c>
      <c r="V223">
        <f t="shared" si="68"/>
        <v>30.979400483023149</v>
      </c>
      <c r="W223">
        <f t="shared" si="60"/>
        <v>-5.9910794066246383E-3</v>
      </c>
      <c r="Y223" s="1">
        <v>46041</v>
      </c>
      <c r="Z223" s="2">
        <v>1681.2</v>
      </c>
      <c r="AA223" s="4">
        <f t="shared" si="61"/>
        <v>-5.0893596875369327E-3</v>
      </c>
      <c r="AB223">
        <f t="shared" si="69"/>
        <v>20.963781669784048</v>
      </c>
      <c r="AC223">
        <f t="shared" si="62"/>
        <v>-3.9578137478915986E-3</v>
      </c>
      <c r="AE223">
        <f t="shared" si="63"/>
        <v>115.0698353992107</v>
      </c>
      <c r="AF223">
        <f t="shared" si="64"/>
        <v>-7.6659716290113922E-3</v>
      </c>
      <c r="AH223">
        <v>-6.6183894779830721E-3</v>
      </c>
      <c r="AI223">
        <v>-4.0593557838747504E-3</v>
      </c>
      <c r="AJ223">
        <v>9.0714534600723346E-3</v>
      </c>
      <c r="AK223">
        <v>1.1316065958100346E-2</v>
      </c>
      <c r="AL223">
        <v>5.7388578068661461E-2</v>
      </c>
    </row>
    <row r="224" spans="1:38" x14ac:dyDescent="0.3">
      <c r="A224" s="1">
        <v>46042</v>
      </c>
      <c r="B224">
        <v>883.2</v>
      </c>
      <c r="C224">
        <f t="shared" si="53"/>
        <v>-3.3698030634573252E-2</v>
      </c>
      <c r="D224">
        <f t="shared" si="65"/>
        <v>18.496335078534031</v>
      </c>
      <c r="E224">
        <f t="shared" si="54"/>
        <v>-3.4756706651634765E-2</v>
      </c>
      <c r="G224" s="1">
        <v>46042</v>
      </c>
      <c r="H224">
        <v>352.95</v>
      </c>
      <c r="I224">
        <f t="shared" si="55"/>
        <v>-2.8221365638766521E-2</v>
      </c>
      <c r="J224">
        <f t="shared" si="66"/>
        <v>26.730847655112136</v>
      </c>
      <c r="K224">
        <f t="shared" si="56"/>
        <v>-2.87423436327666E-2</v>
      </c>
      <c r="M224" s="1">
        <v>46042</v>
      </c>
      <c r="N224" s="2">
        <v>12059</v>
      </c>
      <c r="O224">
        <f t="shared" si="57"/>
        <v>-1.9354314060339921E-2</v>
      </c>
      <c r="P224">
        <f t="shared" si="67"/>
        <v>16.159231980397525</v>
      </c>
      <c r="Q224">
        <f t="shared" si="58"/>
        <v>-2.0319580306509939E-2</v>
      </c>
      <c r="S224" s="1">
        <v>46042</v>
      </c>
      <c r="T224" s="2">
        <v>1036.4000000000001</v>
      </c>
      <c r="U224">
        <f t="shared" si="59"/>
        <v>-1.9260400616332818E-3</v>
      </c>
      <c r="V224">
        <f t="shared" si="68"/>
        <v>30.919732916607462</v>
      </c>
      <c r="W224">
        <f t="shared" si="60"/>
        <v>-4.1753944370770089E-3</v>
      </c>
      <c r="Y224" s="1">
        <v>46042</v>
      </c>
      <c r="Z224" s="2">
        <v>1658.9</v>
      </c>
      <c r="AA224" s="4">
        <f t="shared" si="61"/>
        <v>-1.3264334998810346E-2</v>
      </c>
      <c r="AB224">
        <f t="shared" si="69"/>
        <v>20.685711046874115</v>
      </c>
      <c r="AC224">
        <f t="shared" si="62"/>
        <v>-1.2132789059165011E-2</v>
      </c>
      <c r="AE224">
        <f t="shared" si="63"/>
        <v>112.99185867752527</v>
      </c>
      <c r="AF224">
        <f t="shared" si="64"/>
        <v>-1.8058396576968505E-2</v>
      </c>
      <c r="AH224">
        <v>-1.8368642687312052E-2</v>
      </c>
      <c r="AI224">
        <v>-8.4423109631342856E-3</v>
      </c>
      <c r="AJ224">
        <v>-7.5091343993450039E-3</v>
      </c>
      <c r="AK224">
        <v>-5.9910794066246383E-3</v>
      </c>
      <c r="AL224">
        <v>-3.9578137478915986E-3</v>
      </c>
    </row>
    <row r="225" spans="1:38" x14ac:dyDescent="0.3">
      <c r="A225" s="1">
        <v>46043</v>
      </c>
      <c r="B225">
        <v>878.7</v>
      </c>
      <c r="C225">
        <f t="shared" si="53"/>
        <v>-5.095108695652174E-3</v>
      </c>
      <c r="D225">
        <f t="shared" si="65"/>
        <v>18.402094240837695</v>
      </c>
      <c r="E225">
        <f t="shared" si="54"/>
        <v>-6.1537847127136891E-3</v>
      </c>
      <c r="G225" s="1">
        <v>46043</v>
      </c>
      <c r="H225">
        <v>349.35</v>
      </c>
      <c r="I225">
        <f t="shared" si="55"/>
        <v>-1.0199745006374744E-2</v>
      </c>
      <c r="J225">
        <f t="shared" si="66"/>
        <v>26.458199825225741</v>
      </c>
      <c r="K225">
        <f t="shared" si="56"/>
        <v>-1.0720723000374821E-2</v>
      </c>
      <c r="M225" s="1">
        <v>46043</v>
      </c>
      <c r="N225" s="2">
        <v>12231</v>
      </c>
      <c r="O225">
        <f t="shared" si="57"/>
        <v>1.4263205904303839E-2</v>
      </c>
      <c r="P225">
        <f t="shared" si="67"/>
        <v>16.389714433389344</v>
      </c>
      <c r="Q225">
        <f t="shared" si="58"/>
        <v>1.3297939658133823E-2</v>
      </c>
      <c r="S225" s="1">
        <v>46043</v>
      </c>
      <c r="T225" s="2">
        <v>1028.6500000000001</v>
      </c>
      <c r="U225">
        <f t="shared" si="59"/>
        <v>-7.4778077962176755E-3</v>
      </c>
      <c r="V225">
        <f t="shared" si="68"/>
        <v>30.688521096746687</v>
      </c>
      <c r="W225">
        <f t="shared" si="60"/>
        <v>-9.7271621716614014E-3</v>
      </c>
      <c r="Y225" s="1">
        <v>46043</v>
      </c>
      <c r="Z225" s="2">
        <v>1654.4</v>
      </c>
      <c r="AA225" s="4">
        <f t="shared" si="61"/>
        <v>-2.7126409066248716E-3</v>
      </c>
      <c r="AB225">
        <f t="shared" si="69"/>
        <v>20.629598140905742</v>
      </c>
      <c r="AC225">
        <f t="shared" si="62"/>
        <v>-1.5810949669795371E-3</v>
      </c>
      <c r="AE225">
        <f t="shared" si="63"/>
        <v>112.56812773710521</v>
      </c>
      <c r="AF225">
        <f t="shared" si="64"/>
        <v>-3.750101515095583E-3</v>
      </c>
      <c r="AH225">
        <v>-3.4756706651634765E-2</v>
      </c>
      <c r="AI225">
        <v>-2.87423436327666E-2</v>
      </c>
      <c r="AJ225">
        <v>-2.0319580306509939E-2</v>
      </c>
      <c r="AK225">
        <v>-4.1753944370770089E-3</v>
      </c>
      <c r="AL225">
        <v>-1.2132789059165011E-2</v>
      </c>
    </row>
    <row r="226" spans="1:38" x14ac:dyDescent="0.3">
      <c r="A226" s="1">
        <v>46044</v>
      </c>
      <c r="B226">
        <v>904.3</v>
      </c>
      <c r="C226">
        <f t="shared" si="53"/>
        <v>2.9133947877546269E-2</v>
      </c>
      <c r="D226">
        <f t="shared" si="65"/>
        <v>18.938219895287954</v>
      </c>
      <c r="E226">
        <f t="shared" si="54"/>
        <v>2.8075271860484752E-2</v>
      </c>
      <c r="G226" s="1">
        <v>46044</v>
      </c>
      <c r="H226">
        <v>353.3</v>
      </c>
      <c r="I226">
        <f t="shared" si="55"/>
        <v>1.1306712466008268E-2</v>
      </c>
      <c r="J226">
        <f t="shared" si="66"/>
        <v>26.757355083017757</v>
      </c>
      <c r="K226">
        <f t="shared" si="56"/>
        <v>1.0785734472008191E-2</v>
      </c>
      <c r="M226" s="1">
        <v>46044</v>
      </c>
      <c r="N226" s="2">
        <v>12364</v>
      </c>
      <c r="O226">
        <f t="shared" si="57"/>
        <v>1.0874008666503147E-2</v>
      </c>
      <c r="P226">
        <f t="shared" si="67"/>
        <v>16.567936330179531</v>
      </c>
      <c r="Q226">
        <f t="shared" si="58"/>
        <v>9.908742420333131E-3</v>
      </c>
      <c r="S226" s="1">
        <v>46044</v>
      </c>
      <c r="T226" s="2">
        <v>1048.3499999999999</v>
      </c>
      <c r="U226">
        <f t="shared" si="59"/>
        <v>1.9151314830116964E-2</v>
      </c>
      <c r="V226">
        <f t="shared" si="68"/>
        <v>31.27624662594117</v>
      </c>
      <c r="W226">
        <f t="shared" si="60"/>
        <v>1.6901960454673237E-2</v>
      </c>
      <c r="Y226" s="1">
        <v>46044</v>
      </c>
      <c r="Z226" s="2">
        <v>1663.5</v>
      </c>
      <c r="AA226" s="4">
        <f t="shared" si="61"/>
        <v>5.5004835589941422E-3</v>
      </c>
      <c r="AB226">
        <f t="shared" si="69"/>
        <v>20.743070906308454</v>
      </c>
      <c r="AC226">
        <f t="shared" si="62"/>
        <v>6.6320294986394763E-3</v>
      </c>
      <c r="AE226">
        <f t="shared" si="63"/>
        <v>114.28282884073487</v>
      </c>
      <c r="AF226">
        <f t="shared" si="64"/>
        <v>1.5232563054030868E-2</v>
      </c>
      <c r="AH226">
        <v>-6.1537847127136891E-3</v>
      </c>
      <c r="AI226">
        <v>-1.0720723000374821E-2</v>
      </c>
      <c r="AJ226">
        <v>1.3297939658133823E-2</v>
      </c>
      <c r="AK226">
        <v>-9.7271621716614014E-3</v>
      </c>
      <c r="AL226">
        <v>-1.5810949669795371E-3</v>
      </c>
    </row>
    <row r="227" spans="1:38" x14ac:dyDescent="0.3">
      <c r="A227" s="1">
        <v>46045</v>
      </c>
      <c r="B227">
        <v>772.8</v>
      </c>
      <c r="C227">
        <f t="shared" si="53"/>
        <v>-0.14541634413358401</v>
      </c>
      <c r="D227">
        <f t="shared" si="65"/>
        <v>16.184293193717274</v>
      </c>
      <c r="E227">
        <f t="shared" si="54"/>
        <v>-0.14647502015064554</v>
      </c>
      <c r="G227" s="1">
        <v>46045</v>
      </c>
      <c r="H227">
        <v>345.25</v>
      </c>
      <c r="I227">
        <f t="shared" si="55"/>
        <v>-2.2785168412114382E-2</v>
      </c>
      <c r="J227">
        <f t="shared" si="66"/>
        <v>26.14768424118845</v>
      </c>
      <c r="K227">
        <f t="shared" si="56"/>
        <v>-2.3306146406114461E-2</v>
      </c>
      <c r="M227" s="1">
        <v>46045</v>
      </c>
      <c r="N227" s="2">
        <v>12369</v>
      </c>
      <c r="O227">
        <f t="shared" si="57"/>
        <v>4.0439987059204138E-4</v>
      </c>
      <c r="P227">
        <f t="shared" si="67"/>
        <v>16.574636401487432</v>
      </c>
      <c r="Q227">
        <f t="shared" si="58"/>
        <v>-5.608663755779749E-4</v>
      </c>
      <c r="S227" s="1">
        <v>46045</v>
      </c>
      <c r="T227" s="2">
        <v>1029.5</v>
      </c>
      <c r="U227">
        <f t="shared" si="59"/>
        <v>-1.7980636237897564E-2</v>
      </c>
      <c r="V227">
        <f t="shared" si="68"/>
        <v>30.713879812473351</v>
      </c>
      <c r="W227">
        <f t="shared" si="60"/>
        <v>-2.0229990613341291E-2</v>
      </c>
      <c r="Y227" s="1">
        <v>46045</v>
      </c>
      <c r="Z227" s="2">
        <v>1670.8</v>
      </c>
      <c r="AA227" s="4">
        <f t="shared" si="61"/>
        <v>4.3883378418995821E-3</v>
      </c>
      <c r="AB227">
        <f t="shared" si="69"/>
        <v>20.834098509323812</v>
      </c>
      <c r="AC227">
        <f t="shared" si="62"/>
        <v>5.5198837815449171E-3</v>
      </c>
      <c r="AE227">
        <f t="shared" si="63"/>
        <v>110.45459215819031</v>
      </c>
      <c r="AF227">
        <f t="shared" si="64"/>
        <v>-3.3497916715726439E-2</v>
      </c>
      <c r="AH227">
        <v>2.8075271860484752E-2</v>
      </c>
      <c r="AI227">
        <v>1.0785734472008191E-2</v>
      </c>
      <c r="AJ227">
        <v>9.908742420333131E-3</v>
      </c>
      <c r="AK227">
        <v>1.6901960454673237E-2</v>
      </c>
      <c r="AL227">
        <v>6.6320294986394763E-3</v>
      </c>
    </row>
    <row r="228" spans="1:38" x14ac:dyDescent="0.3">
      <c r="A228" s="1">
        <v>46049</v>
      </c>
      <c r="B228">
        <v>799.1</v>
      </c>
      <c r="C228">
        <f t="shared" si="53"/>
        <v>3.4032091097308578E-2</v>
      </c>
      <c r="D228">
        <f t="shared" si="65"/>
        <v>16.735078534031413</v>
      </c>
      <c r="E228">
        <f t="shared" si="54"/>
        <v>3.2973415080247065E-2</v>
      </c>
      <c r="G228" s="1">
        <v>46049</v>
      </c>
      <c r="H228">
        <v>347.75</v>
      </c>
      <c r="I228">
        <f t="shared" si="55"/>
        <v>7.2411296162201303E-3</v>
      </c>
      <c r="J228">
        <f t="shared" si="66"/>
        <v>26.33702301194289</v>
      </c>
      <c r="K228">
        <f t="shared" si="56"/>
        <v>6.7201516222200521E-3</v>
      </c>
      <c r="M228" s="1">
        <v>46049</v>
      </c>
      <c r="N228" s="2">
        <v>12589</v>
      </c>
      <c r="O228">
        <f t="shared" si="57"/>
        <v>1.7786401487589941E-2</v>
      </c>
      <c r="P228">
        <f t="shared" si="67"/>
        <v>16.86943953903511</v>
      </c>
      <c r="Q228">
        <f t="shared" si="58"/>
        <v>1.6821135241419923E-2</v>
      </c>
      <c r="S228" s="1">
        <v>46049</v>
      </c>
      <c r="T228" s="2">
        <v>1053.1500000000001</v>
      </c>
      <c r="U228">
        <f t="shared" si="59"/>
        <v>2.297231665857221E-2</v>
      </c>
      <c r="V228">
        <f t="shared" si="68"/>
        <v>31.419448785338819</v>
      </c>
      <c r="W228">
        <f t="shared" si="60"/>
        <v>2.0722962283128483E-2</v>
      </c>
      <c r="Y228" s="1">
        <v>46049</v>
      </c>
      <c r="Z228" s="2">
        <v>1682.7</v>
      </c>
      <c r="AA228" s="4">
        <f t="shared" si="61"/>
        <v>7.1223366052191118E-3</v>
      </c>
      <c r="AB228">
        <f t="shared" si="69"/>
        <v>20.98248597177351</v>
      </c>
      <c r="AC228">
        <f t="shared" si="62"/>
        <v>8.2538825448644458E-3</v>
      </c>
      <c r="AE228">
        <f t="shared" si="63"/>
        <v>112.34347584212175</v>
      </c>
      <c r="AF228">
        <f t="shared" si="64"/>
        <v>1.7100997315043553E-2</v>
      </c>
      <c r="AH228">
        <v>-0.14647502015064554</v>
      </c>
      <c r="AI228">
        <v>-2.3306146406114461E-2</v>
      </c>
      <c r="AJ228">
        <v>-5.608663755779749E-4</v>
      </c>
      <c r="AK228">
        <v>-2.0229990613341291E-2</v>
      </c>
      <c r="AL228">
        <v>5.5198837815449171E-3</v>
      </c>
    </row>
    <row r="229" spans="1:38" x14ac:dyDescent="0.3">
      <c r="A229" s="1">
        <v>46050</v>
      </c>
      <c r="B229">
        <v>822.9</v>
      </c>
      <c r="C229">
        <f t="shared" si="53"/>
        <v>2.9783506444750286E-2</v>
      </c>
      <c r="D229">
        <f t="shared" si="65"/>
        <v>17.23350785340314</v>
      </c>
      <c r="E229">
        <f t="shared" si="54"/>
        <v>2.8724830427688773E-2</v>
      </c>
      <c r="G229" s="1">
        <v>46050</v>
      </c>
      <c r="H229">
        <v>355.05</v>
      </c>
      <c r="I229">
        <f t="shared" si="55"/>
        <v>2.0992092020129437E-2</v>
      </c>
      <c r="J229">
        <f t="shared" si="66"/>
        <v>26.889892222545861</v>
      </c>
      <c r="K229">
        <f t="shared" si="56"/>
        <v>2.0471114026129358E-2</v>
      </c>
      <c r="M229" s="1">
        <v>46050</v>
      </c>
      <c r="N229" s="2">
        <v>12767</v>
      </c>
      <c r="O229">
        <f t="shared" si="57"/>
        <v>1.413932798474859E-2</v>
      </c>
      <c r="P229">
        <f t="shared" si="67"/>
        <v>17.107962077596412</v>
      </c>
      <c r="Q229">
        <f t="shared" si="58"/>
        <v>1.3174061738578574E-2</v>
      </c>
      <c r="S229" s="1">
        <v>46050</v>
      </c>
      <c r="T229" s="2">
        <v>1063.5</v>
      </c>
      <c r="U229">
        <f t="shared" si="59"/>
        <v>9.8276598775102388E-3</v>
      </c>
      <c r="V229">
        <f t="shared" si="68"/>
        <v>31.728228441539979</v>
      </c>
      <c r="W229">
        <f t="shared" si="60"/>
        <v>7.5783055020665121E-3</v>
      </c>
      <c r="Y229" s="1">
        <v>46050</v>
      </c>
      <c r="Z229" s="2">
        <v>1666.5</v>
      </c>
      <c r="AA229" s="4">
        <f t="shared" si="61"/>
        <v>-9.6273845605277502E-3</v>
      </c>
      <c r="AB229">
        <f t="shared" si="69"/>
        <v>20.780479510287368</v>
      </c>
      <c r="AC229">
        <f t="shared" si="62"/>
        <v>-8.4958386208824153E-3</v>
      </c>
      <c r="AE229">
        <f t="shared" si="63"/>
        <v>113.74007010537277</v>
      </c>
      <c r="AF229">
        <f t="shared" si="64"/>
        <v>1.2431467450888523E-2</v>
      </c>
      <c r="AH229">
        <v>3.2973415080247065E-2</v>
      </c>
      <c r="AI229">
        <v>6.7201516222200521E-3</v>
      </c>
      <c r="AJ229">
        <v>1.6821135241419923E-2</v>
      </c>
      <c r="AK229">
        <v>2.0722962283128483E-2</v>
      </c>
      <c r="AL229">
        <v>8.2538825448644458E-3</v>
      </c>
    </row>
    <row r="230" spans="1:38" x14ac:dyDescent="0.3">
      <c r="A230" s="1">
        <v>46051</v>
      </c>
      <c r="B230">
        <v>858.8</v>
      </c>
      <c r="C230">
        <f t="shared" si="53"/>
        <v>4.3626200024304264E-2</v>
      </c>
      <c r="D230">
        <f t="shared" si="65"/>
        <v>17.985340314136121</v>
      </c>
      <c r="E230">
        <f t="shared" si="54"/>
        <v>4.256752400724275E-2</v>
      </c>
      <c r="G230" s="1">
        <v>46051</v>
      </c>
      <c r="H230">
        <v>366.45</v>
      </c>
      <c r="I230">
        <f t="shared" si="55"/>
        <v>3.2108153781157521E-2</v>
      </c>
      <c r="J230">
        <f t="shared" si="66"/>
        <v>27.753277017186118</v>
      </c>
      <c r="K230">
        <f t="shared" si="56"/>
        <v>3.1587175787157445E-2</v>
      </c>
      <c r="M230" s="1">
        <v>46051</v>
      </c>
      <c r="N230" s="2">
        <v>12717</v>
      </c>
      <c r="O230">
        <f t="shared" si="57"/>
        <v>-3.9163468316754128E-3</v>
      </c>
      <c r="P230">
        <f t="shared" si="67"/>
        <v>17.040961364517393</v>
      </c>
      <c r="Q230">
        <f t="shared" si="58"/>
        <v>-4.8816130778454288E-3</v>
      </c>
      <c r="S230" s="1">
        <v>46051</v>
      </c>
      <c r="T230" s="2">
        <v>1066.2</v>
      </c>
      <c r="U230">
        <f t="shared" si="59"/>
        <v>2.5387870239774756E-3</v>
      </c>
      <c r="V230">
        <f t="shared" si="68"/>
        <v>31.808779656201153</v>
      </c>
      <c r="W230">
        <f t="shared" si="60"/>
        <v>2.894326485337489E-4</v>
      </c>
      <c r="Y230" s="1">
        <v>46051</v>
      </c>
      <c r="Z230" s="2">
        <v>1659.5</v>
      </c>
      <c r="AA230" s="4">
        <f t="shared" si="61"/>
        <v>-4.2004200420042003E-3</v>
      </c>
      <c r="AB230">
        <f t="shared" si="69"/>
        <v>20.693192767669899</v>
      </c>
      <c r="AC230">
        <f t="shared" si="62"/>
        <v>-3.0688741023588658E-3</v>
      </c>
      <c r="AE230">
        <f t="shared" si="63"/>
        <v>115.28155111971068</v>
      </c>
      <c r="AF230">
        <f t="shared" si="64"/>
        <v>1.3552664535109171E-2</v>
      </c>
      <c r="AH230">
        <v>2.8724830427688773E-2</v>
      </c>
      <c r="AI230">
        <v>2.0471114026129358E-2</v>
      </c>
      <c r="AJ230">
        <v>1.3174061738578574E-2</v>
      </c>
      <c r="AK230">
        <v>7.5783055020665121E-3</v>
      </c>
      <c r="AL230">
        <v>-8.4958386208824153E-3</v>
      </c>
    </row>
    <row r="231" spans="1:38" x14ac:dyDescent="0.3">
      <c r="A231" s="1">
        <v>46052</v>
      </c>
      <c r="B231">
        <v>852.3</v>
      </c>
      <c r="C231">
        <f t="shared" si="53"/>
        <v>-7.5687005123428047E-3</v>
      </c>
      <c r="D231">
        <f t="shared" si="65"/>
        <v>17.84921465968586</v>
      </c>
      <c r="E231">
        <f t="shared" si="54"/>
        <v>-8.6273765294043198E-3</v>
      </c>
      <c r="G231" s="1">
        <v>46052</v>
      </c>
      <c r="H231">
        <v>366.3</v>
      </c>
      <c r="I231">
        <f t="shared" si="55"/>
        <v>-4.0933278755622124E-4</v>
      </c>
      <c r="J231">
        <f t="shared" si="66"/>
        <v>27.741916690940855</v>
      </c>
      <c r="K231">
        <f t="shared" si="56"/>
        <v>-9.3031078155629901E-4</v>
      </c>
      <c r="M231" s="1">
        <v>46052</v>
      </c>
      <c r="N231" s="2">
        <v>12694</v>
      </c>
      <c r="O231">
        <f t="shared" si="57"/>
        <v>-1.8086026578595581E-3</v>
      </c>
      <c r="P231">
        <f t="shared" si="67"/>
        <v>17.010141036501047</v>
      </c>
      <c r="Q231">
        <f t="shared" si="58"/>
        <v>-2.7738689040295744E-3</v>
      </c>
      <c r="S231" s="1">
        <v>46052</v>
      </c>
      <c r="T231" s="2">
        <v>1077.1500000000001</v>
      </c>
      <c r="U231">
        <f t="shared" si="59"/>
        <v>1.0270118176702349E-2</v>
      </c>
      <c r="V231">
        <f t="shared" si="68"/>
        <v>32.13545958232703</v>
      </c>
      <c r="W231">
        <f t="shared" si="60"/>
        <v>8.0207638012586221E-3</v>
      </c>
      <c r="Y231" s="1">
        <v>46052</v>
      </c>
      <c r="Z231" s="2">
        <v>1641</v>
      </c>
      <c r="AA231" s="4">
        <f t="shared" si="61"/>
        <v>-1.1147936125338957E-2</v>
      </c>
      <c r="AB231">
        <f t="shared" si="69"/>
        <v>20.462506376466589</v>
      </c>
      <c r="AC231">
        <f t="shared" si="62"/>
        <v>-1.0016390185693622E-2</v>
      </c>
      <c r="AE231">
        <f t="shared" si="63"/>
        <v>115.19923834592137</v>
      </c>
      <c r="AF231">
        <f t="shared" si="64"/>
        <v>-7.1401514804247945E-4</v>
      </c>
      <c r="AH231">
        <v>4.256752400724275E-2</v>
      </c>
      <c r="AI231">
        <v>3.1587175787157445E-2</v>
      </c>
      <c r="AJ231">
        <v>-4.8816130778454288E-3</v>
      </c>
      <c r="AK231">
        <v>2.894326485337489E-4</v>
      </c>
      <c r="AL231">
        <v>-3.0688741023588658E-3</v>
      </c>
    </row>
    <row r="232" spans="1:38" x14ac:dyDescent="0.3">
      <c r="A232" s="1">
        <v>46054</v>
      </c>
      <c r="B232">
        <v>806.8</v>
      </c>
      <c r="C232">
        <f t="shared" si="53"/>
        <v>-5.3384958347999535E-2</v>
      </c>
      <c r="D232">
        <f t="shared" si="65"/>
        <v>16.89633507853403</v>
      </c>
      <c r="E232">
        <f t="shared" si="54"/>
        <v>-5.4443634365061049E-2</v>
      </c>
      <c r="G232" s="1">
        <v>46054</v>
      </c>
      <c r="H232">
        <v>354.35</v>
      </c>
      <c r="I232">
        <f t="shared" si="55"/>
        <v>-3.262353262353259E-2</v>
      </c>
      <c r="J232">
        <f t="shared" si="66"/>
        <v>26.836877366734623</v>
      </c>
      <c r="K232">
        <f t="shared" si="56"/>
        <v>-3.3144510617532666E-2</v>
      </c>
      <c r="M232" s="1">
        <v>46054</v>
      </c>
      <c r="N232" s="2">
        <v>12284</v>
      </c>
      <c r="O232">
        <f t="shared" si="57"/>
        <v>-3.2298723806522767E-2</v>
      </c>
      <c r="P232">
        <f t="shared" si="67"/>
        <v>16.4607351892531</v>
      </c>
      <c r="Q232">
        <f t="shared" si="58"/>
        <v>-3.3263990052692781E-2</v>
      </c>
      <c r="S232" s="1">
        <v>46054</v>
      </c>
      <c r="T232" s="2">
        <v>1018.2</v>
      </c>
      <c r="U232">
        <f t="shared" si="59"/>
        <v>-5.4727753794736149E-2</v>
      </c>
      <c r="V232">
        <f t="shared" si="68"/>
        <v>30.376758062224742</v>
      </c>
      <c r="W232">
        <f t="shared" si="60"/>
        <v>-5.6977108170179876E-2</v>
      </c>
      <c r="Y232" s="1">
        <v>46054</v>
      </c>
      <c r="Z232" s="2">
        <v>1654.5</v>
      </c>
      <c r="AA232" s="4">
        <f t="shared" si="61"/>
        <v>8.2266910420475316E-3</v>
      </c>
      <c r="AB232">
        <f t="shared" si="69"/>
        <v>20.630845094371704</v>
      </c>
      <c r="AC232">
        <f t="shared" si="62"/>
        <v>9.3582369816928666E-3</v>
      </c>
      <c r="AE232">
        <f t="shared" si="63"/>
        <v>111.20155079111819</v>
      </c>
      <c r="AF232">
        <f t="shared" si="64"/>
        <v>-3.4702378350791596E-2</v>
      </c>
      <c r="AH232">
        <v>-8.6273765294043198E-3</v>
      </c>
      <c r="AI232">
        <v>-9.3031078155629901E-4</v>
      </c>
      <c r="AJ232">
        <v>-2.7738689040295744E-3</v>
      </c>
      <c r="AK232">
        <v>8.0207638012586221E-3</v>
      </c>
      <c r="AL232">
        <v>-1.0016390185693622E-2</v>
      </c>
    </row>
    <row r="233" spans="1:38" x14ac:dyDescent="0.3">
      <c r="A233" s="1">
        <v>46055</v>
      </c>
      <c r="B233">
        <v>843.95</v>
      </c>
      <c r="C233">
        <f t="shared" si="53"/>
        <v>4.604610808130899E-2</v>
      </c>
      <c r="D233">
        <f t="shared" si="65"/>
        <v>17.67434554973822</v>
      </c>
      <c r="E233">
        <f t="shared" si="54"/>
        <v>4.4987432064247476E-2</v>
      </c>
      <c r="G233" s="1">
        <v>46055</v>
      </c>
      <c r="H233">
        <v>358.8</v>
      </c>
      <c r="I233">
        <f t="shared" si="55"/>
        <v>1.2558205164385461E-2</v>
      </c>
      <c r="J233">
        <f t="shared" si="66"/>
        <v>27.17390037867753</v>
      </c>
      <c r="K233">
        <f t="shared" si="56"/>
        <v>1.2037227170385384E-2</v>
      </c>
      <c r="M233" s="1">
        <v>46055</v>
      </c>
      <c r="N233" s="2">
        <v>12535</v>
      </c>
      <c r="O233">
        <f t="shared" si="57"/>
        <v>2.0433083686095733E-2</v>
      </c>
      <c r="P233">
        <f t="shared" si="67"/>
        <v>16.79707876890977</v>
      </c>
      <c r="Q233">
        <f t="shared" si="58"/>
        <v>1.9467817439925716E-2</v>
      </c>
      <c r="S233" s="1">
        <v>46055</v>
      </c>
      <c r="T233" s="2">
        <v>1028.7</v>
      </c>
      <c r="U233">
        <f t="shared" si="59"/>
        <v>1.0312315851502652E-2</v>
      </c>
      <c r="V233">
        <f t="shared" si="68"/>
        <v>30.690012785907083</v>
      </c>
      <c r="W233">
        <f t="shared" si="60"/>
        <v>8.0629614760589254E-3</v>
      </c>
      <c r="Y233" s="1">
        <v>46055</v>
      </c>
      <c r="Z233" s="2">
        <v>1629.4</v>
      </c>
      <c r="AA233" s="4">
        <f t="shared" si="61"/>
        <v>-1.5170746449078216E-2</v>
      </c>
      <c r="AB233">
        <f t="shared" si="69"/>
        <v>20.317859774414782</v>
      </c>
      <c r="AC233">
        <f t="shared" si="62"/>
        <v>-1.4039200509432881E-2</v>
      </c>
      <c r="AE233">
        <f t="shared" si="63"/>
        <v>112.65319725764739</v>
      </c>
      <c r="AF233">
        <f t="shared" si="64"/>
        <v>1.305419264571217E-2</v>
      </c>
      <c r="AH233">
        <v>-5.4443634365061049E-2</v>
      </c>
      <c r="AI233">
        <v>-3.3144510617532666E-2</v>
      </c>
      <c r="AJ233">
        <v>-3.3263990052692781E-2</v>
      </c>
      <c r="AK233">
        <v>-5.6977108170179876E-2</v>
      </c>
      <c r="AL233">
        <v>9.3582369816928666E-3</v>
      </c>
    </row>
    <row r="234" spans="1:38" x14ac:dyDescent="0.3">
      <c r="A234" s="1">
        <v>46056</v>
      </c>
      <c r="B234">
        <v>932.1</v>
      </c>
      <c r="C234">
        <f t="shared" si="53"/>
        <v>0.10444931571775576</v>
      </c>
      <c r="D234">
        <f t="shared" si="65"/>
        <v>19.520418848167537</v>
      </c>
      <c r="E234">
        <f t="shared" si="54"/>
        <v>0.10339063970069425</v>
      </c>
      <c r="G234" s="1">
        <v>46056</v>
      </c>
      <c r="H234">
        <v>365.1</v>
      </c>
      <c r="I234">
        <f t="shared" si="55"/>
        <v>1.7558528428093675E-2</v>
      </c>
      <c r="J234">
        <f t="shared" si="66"/>
        <v>27.651034080978725</v>
      </c>
      <c r="K234">
        <f t="shared" si="56"/>
        <v>1.7037550434093596E-2</v>
      </c>
      <c r="M234" s="1">
        <v>46056</v>
      </c>
      <c r="N234" s="2">
        <v>12590</v>
      </c>
      <c r="O234">
        <f t="shared" si="57"/>
        <v>4.3877143996808934E-3</v>
      </c>
      <c r="P234">
        <f t="shared" si="67"/>
        <v>16.870779553296689</v>
      </c>
      <c r="Q234">
        <f t="shared" si="58"/>
        <v>3.4224481535108774E-3</v>
      </c>
      <c r="S234" s="1">
        <v>46056</v>
      </c>
      <c r="T234" s="2">
        <v>1064.2</v>
      </c>
      <c r="U234">
        <f t="shared" si="59"/>
        <v>3.450957519198989E-2</v>
      </c>
      <c r="V234">
        <f t="shared" si="68"/>
        <v>31.749112089785477</v>
      </c>
      <c r="W234">
        <f t="shared" si="60"/>
        <v>3.2260220816546163E-2</v>
      </c>
      <c r="Y234" s="1">
        <v>46056</v>
      </c>
      <c r="Z234" s="2">
        <v>1656</v>
      </c>
      <c r="AA234" s="4">
        <f t="shared" si="61"/>
        <v>1.6325027617527868E-2</v>
      </c>
      <c r="AB234">
        <f t="shared" si="69"/>
        <v>20.649549396361163</v>
      </c>
      <c r="AC234">
        <f t="shared" si="62"/>
        <v>1.7456573557173203E-2</v>
      </c>
      <c r="AE234">
        <f t="shared" si="63"/>
        <v>116.44089396858959</v>
      </c>
      <c r="AF234">
        <f t="shared" si="64"/>
        <v>3.3622629478321953E-2</v>
      </c>
      <c r="AH234">
        <v>4.4987432064247476E-2</v>
      </c>
      <c r="AI234">
        <v>1.2037227170385384E-2</v>
      </c>
      <c r="AJ234">
        <v>1.9467817439925716E-2</v>
      </c>
      <c r="AK234">
        <v>8.0629614760589254E-3</v>
      </c>
      <c r="AL234">
        <v>-1.4039200509432881E-2</v>
      </c>
    </row>
    <row r="235" spans="1:38" x14ac:dyDescent="0.3">
      <c r="A235" s="1">
        <v>46057</v>
      </c>
      <c r="B235">
        <v>954.45</v>
      </c>
      <c r="C235">
        <f t="shared" si="53"/>
        <v>2.3978113936272957E-2</v>
      </c>
      <c r="D235">
        <f t="shared" si="65"/>
        <v>19.988481675392666</v>
      </c>
      <c r="E235">
        <f t="shared" si="54"/>
        <v>2.2919437919211444E-2</v>
      </c>
      <c r="G235" s="1">
        <v>46057</v>
      </c>
      <c r="H235">
        <v>371.55</v>
      </c>
      <c r="I235">
        <f t="shared" si="55"/>
        <v>1.7666392769104321E-2</v>
      </c>
      <c r="J235">
        <f t="shared" si="66"/>
        <v>28.139528109525184</v>
      </c>
      <c r="K235">
        <f t="shared" si="56"/>
        <v>1.7145414775104242E-2</v>
      </c>
      <c r="M235" s="1">
        <v>46057</v>
      </c>
      <c r="N235" s="2">
        <v>12806</v>
      </c>
      <c r="O235">
        <f t="shared" si="57"/>
        <v>1.7156473391580621E-2</v>
      </c>
      <c r="P235">
        <f t="shared" si="67"/>
        <v>17.160222633798046</v>
      </c>
      <c r="Q235">
        <f t="shared" si="58"/>
        <v>1.6191207145410603E-2</v>
      </c>
      <c r="S235" s="1">
        <v>46057</v>
      </c>
      <c r="T235" s="2">
        <v>1068.2</v>
      </c>
      <c r="U235">
        <f t="shared" si="59"/>
        <v>3.758691975192633E-3</v>
      </c>
      <c r="V235">
        <f t="shared" si="68"/>
        <v>31.868447222616844</v>
      </c>
      <c r="W235">
        <f t="shared" si="60"/>
        <v>1.5093375997489063E-3</v>
      </c>
      <c r="Y235" s="1">
        <v>46057</v>
      </c>
      <c r="Z235" s="2">
        <v>1535.8</v>
      </c>
      <c r="AA235" s="4">
        <f t="shared" si="61"/>
        <v>-7.258454106280196E-2</v>
      </c>
      <c r="AB235">
        <f t="shared" si="69"/>
        <v>19.150711330272628</v>
      </c>
      <c r="AC235">
        <f t="shared" si="62"/>
        <v>-7.1452995123156629E-2</v>
      </c>
      <c r="AE235">
        <f t="shared" si="63"/>
        <v>116.30739097160537</v>
      </c>
      <c r="AF235">
        <f t="shared" si="64"/>
        <v>-1.1465301616477852E-3</v>
      </c>
      <c r="AH235">
        <v>0.10339063970069425</v>
      </c>
      <c r="AI235">
        <v>1.7037550434093596E-2</v>
      </c>
      <c r="AJ235">
        <v>3.4224481535108774E-3</v>
      </c>
      <c r="AK235">
        <v>3.2260220816546163E-2</v>
      </c>
      <c r="AL235">
        <v>1.7456573557173203E-2</v>
      </c>
    </row>
    <row r="236" spans="1:38" x14ac:dyDescent="0.3">
      <c r="A236" s="1">
        <v>46058</v>
      </c>
      <c r="B236">
        <v>967.15</v>
      </c>
      <c r="C236">
        <f t="shared" si="53"/>
        <v>1.3306092514013233E-2</v>
      </c>
      <c r="D236">
        <f t="shared" si="65"/>
        <v>20.254450261780097</v>
      </c>
      <c r="E236">
        <f t="shared" si="54"/>
        <v>1.2247416496951718E-2</v>
      </c>
      <c r="G236" s="1">
        <v>46058</v>
      </c>
      <c r="H236">
        <v>364.5</v>
      </c>
      <c r="I236">
        <f t="shared" si="55"/>
        <v>-1.8974566007266887E-2</v>
      </c>
      <c r="J236">
        <f t="shared" si="66"/>
        <v>27.605592775997657</v>
      </c>
      <c r="K236">
        <f t="shared" si="56"/>
        <v>-1.9495544001266966E-2</v>
      </c>
      <c r="M236" s="1">
        <v>46058</v>
      </c>
      <c r="N236" s="2">
        <v>12773</v>
      </c>
      <c r="O236">
        <f t="shared" si="57"/>
        <v>-2.5769170701233795E-3</v>
      </c>
      <c r="P236">
        <f t="shared" si="67"/>
        <v>17.116002163165895</v>
      </c>
      <c r="Q236">
        <f t="shared" si="58"/>
        <v>-3.542183316293396E-3</v>
      </c>
      <c r="S236" s="1">
        <v>46058</v>
      </c>
      <c r="T236" s="2">
        <v>1073.5</v>
      </c>
      <c r="U236">
        <f t="shared" si="59"/>
        <v>4.9616176745927304E-3</v>
      </c>
      <c r="V236">
        <f t="shared" si="68"/>
        <v>32.026566273618407</v>
      </c>
      <c r="W236">
        <f t="shared" si="60"/>
        <v>2.7122632991490037E-3</v>
      </c>
      <c r="Y236" s="1">
        <v>46058</v>
      </c>
      <c r="Z236" s="2">
        <v>1520.2</v>
      </c>
      <c r="AA236" s="4">
        <f t="shared" si="61"/>
        <v>-1.0157572600598977E-2</v>
      </c>
      <c r="AB236">
        <f t="shared" si="69"/>
        <v>18.95618658958227</v>
      </c>
      <c r="AC236">
        <f t="shared" si="62"/>
        <v>-9.026026660953642E-3</v>
      </c>
      <c r="AE236">
        <f t="shared" si="63"/>
        <v>115.95879806414432</v>
      </c>
      <c r="AF236">
        <f t="shared" si="64"/>
        <v>-2.9971690066210588E-3</v>
      </c>
      <c r="AH236">
        <v>2.2919437919211444E-2</v>
      </c>
      <c r="AI236">
        <v>1.7145414775104242E-2</v>
      </c>
      <c r="AJ236">
        <v>1.6191207145410603E-2</v>
      </c>
      <c r="AK236">
        <v>1.5093375997489063E-3</v>
      </c>
      <c r="AL236">
        <v>-7.1452995123156629E-2</v>
      </c>
    </row>
    <row r="237" spans="1:38" x14ac:dyDescent="0.3">
      <c r="A237" s="1">
        <v>46059</v>
      </c>
      <c r="B237">
        <v>971.85</v>
      </c>
      <c r="C237">
        <f t="shared" si="53"/>
        <v>4.8596391459443163E-3</v>
      </c>
      <c r="D237">
        <f t="shared" si="65"/>
        <v>20.352879581151825</v>
      </c>
      <c r="E237">
        <f t="shared" si="54"/>
        <v>3.8009631288828012E-3</v>
      </c>
      <c r="G237" s="1">
        <v>46059</v>
      </c>
      <c r="H237">
        <v>365.95</v>
      </c>
      <c r="I237">
        <f t="shared" si="55"/>
        <v>3.9780521262002431E-3</v>
      </c>
      <c r="J237">
        <f t="shared" si="66"/>
        <v>27.715409263035234</v>
      </c>
      <c r="K237">
        <f t="shared" si="56"/>
        <v>3.4570741322001654E-3</v>
      </c>
      <c r="M237" s="1">
        <v>46059</v>
      </c>
      <c r="N237" s="2">
        <v>12722</v>
      </c>
      <c r="O237">
        <f t="shared" si="57"/>
        <v>-3.9927973068190712E-3</v>
      </c>
      <c r="P237">
        <f t="shared" si="67"/>
        <v>17.047661435825297</v>
      </c>
      <c r="Q237">
        <f t="shared" si="58"/>
        <v>-4.9580635529890872E-3</v>
      </c>
      <c r="S237" s="1">
        <v>46059</v>
      </c>
      <c r="T237" s="2">
        <v>1066.4000000000001</v>
      </c>
      <c r="U237">
        <f t="shared" si="59"/>
        <v>-6.6138798323240886E-3</v>
      </c>
      <c r="V237">
        <f t="shared" si="68"/>
        <v>31.81474641284273</v>
      </c>
      <c r="W237">
        <f t="shared" si="60"/>
        <v>-8.8632342077678145E-3</v>
      </c>
      <c r="Y237" s="1">
        <v>46059</v>
      </c>
      <c r="Z237" s="2">
        <v>1507.1</v>
      </c>
      <c r="AA237" s="4">
        <f t="shared" si="61"/>
        <v>-8.6172871990528449E-3</v>
      </c>
      <c r="AB237">
        <f t="shared" si="69"/>
        <v>18.792835685541004</v>
      </c>
      <c r="AC237">
        <f t="shared" si="62"/>
        <v>-7.48574125940751E-3</v>
      </c>
      <c r="AE237">
        <f t="shared" si="63"/>
        <v>115.7235323783961</v>
      </c>
      <c r="AF237">
        <f t="shared" si="64"/>
        <v>-2.0288730969605373E-3</v>
      </c>
      <c r="AH237">
        <v>1.2247416496951718E-2</v>
      </c>
      <c r="AI237">
        <v>-1.9495544001266966E-2</v>
      </c>
      <c r="AJ237">
        <v>-3.542183316293396E-3</v>
      </c>
      <c r="AK237">
        <v>2.7122632991490037E-3</v>
      </c>
      <c r="AL237">
        <v>-9.026026660953642E-3</v>
      </c>
    </row>
    <row r="238" spans="1:38" x14ac:dyDescent="0.3">
      <c r="A238" s="1">
        <v>46062</v>
      </c>
      <c r="B238">
        <v>982.65</v>
      </c>
      <c r="C238">
        <f t="shared" si="53"/>
        <v>1.1112826053403257E-2</v>
      </c>
      <c r="D238">
        <f t="shared" si="65"/>
        <v>20.579057591623027</v>
      </c>
      <c r="E238">
        <f t="shared" si="54"/>
        <v>1.0054150036341742E-2</v>
      </c>
      <c r="G238" s="1">
        <v>46062</v>
      </c>
      <c r="H238">
        <v>368.7</v>
      </c>
      <c r="I238">
        <f t="shared" si="55"/>
        <v>7.5146877988796282E-3</v>
      </c>
      <c r="J238">
        <f t="shared" si="66"/>
        <v>27.92368191086512</v>
      </c>
      <c r="K238">
        <f t="shared" si="56"/>
        <v>6.9937098048795509E-3</v>
      </c>
      <c r="M238" s="1">
        <v>46062</v>
      </c>
      <c r="N238" s="2">
        <v>13048</v>
      </c>
      <c r="O238">
        <f t="shared" si="57"/>
        <v>2.5624901745008647E-2</v>
      </c>
      <c r="P238">
        <f t="shared" si="67"/>
        <v>17.484506085100495</v>
      </c>
      <c r="Q238">
        <f t="shared" si="58"/>
        <v>2.4659635498838629E-2</v>
      </c>
      <c r="S238" s="1">
        <v>46062</v>
      </c>
      <c r="T238" s="2">
        <v>1146</v>
      </c>
      <c r="U238">
        <f t="shared" si="59"/>
        <v>7.4643660915228713E-2</v>
      </c>
      <c r="V238">
        <f t="shared" si="68"/>
        <v>34.189515556186954</v>
      </c>
      <c r="W238">
        <f t="shared" si="60"/>
        <v>7.2394306539784986E-2</v>
      </c>
      <c r="Y238" s="1">
        <v>46062</v>
      </c>
      <c r="Z238" s="2">
        <v>1497.2</v>
      </c>
      <c r="AA238" s="4">
        <f t="shared" si="61"/>
        <v>-6.5689071727157216E-3</v>
      </c>
      <c r="AB238">
        <f t="shared" si="69"/>
        <v>18.669387292410583</v>
      </c>
      <c r="AC238">
        <f t="shared" si="62"/>
        <v>-5.4373612330703876E-3</v>
      </c>
      <c r="AE238">
        <f t="shared" si="63"/>
        <v>118.84614843618617</v>
      </c>
      <c r="AF238">
        <f t="shared" si="64"/>
        <v>2.698341464015841E-2</v>
      </c>
      <c r="AH238">
        <v>3.8009631288828012E-3</v>
      </c>
      <c r="AI238">
        <v>3.4570741322001654E-3</v>
      </c>
      <c r="AJ238">
        <v>-4.9580635529890872E-3</v>
      </c>
      <c r="AK238">
        <v>-8.8632342077678145E-3</v>
      </c>
      <c r="AL238">
        <v>-7.48574125940751E-3</v>
      </c>
    </row>
    <row r="239" spans="1:38" x14ac:dyDescent="0.3">
      <c r="A239" s="1">
        <v>46063</v>
      </c>
      <c r="B239">
        <v>978.3</v>
      </c>
      <c r="C239">
        <f t="shared" si="53"/>
        <v>-4.4268050679285836E-3</v>
      </c>
      <c r="D239">
        <f t="shared" si="65"/>
        <v>20.487958115183236</v>
      </c>
      <c r="E239">
        <f t="shared" si="54"/>
        <v>-5.4854810849900987E-3</v>
      </c>
      <c r="G239" s="1">
        <v>46063</v>
      </c>
      <c r="H239">
        <v>369.95</v>
      </c>
      <c r="I239">
        <f t="shared" si="55"/>
        <v>3.3902902088418772E-3</v>
      </c>
      <c r="J239">
        <f t="shared" si="66"/>
        <v>28.01835129624234</v>
      </c>
      <c r="K239">
        <f t="shared" si="56"/>
        <v>2.8693122148417995E-3</v>
      </c>
      <c r="M239" s="1">
        <v>46063</v>
      </c>
      <c r="N239" s="2">
        <v>13023</v>
      </c>
      <c r="O239">
        <f t="shared" si="57"/>
        <v>-1.9160024524831393E-3</v>
      </c>
      <c r="P239">
        <f t="shared" si="67"/>
        <v>17.451005728560986</v>
      </c>
      <c r="Q239">
        <f t="shared" si="58"/>
        <v>-2.8812686986531555E-3</v>
      </c>
      <c r="S239" s="1">
        <v>46063</v>
      </c>
      <c r="T239" s="2">
        <v>1144.0999999999999</v>
      </c>
      <c r="U239">
        <f t="shared" si="59"/>
        <v>-1.6579406631763447E-3</v>
      </c>
      <c r="V239">
        <f t="shared" si="68"/>
        <v>34.132831368092049</v>
      </c>
      <c r="W239">
        <f t="shared" si="60"/>
        <v>-3.9072950386200714E-3</v>
      </c>
      <c r="Y239" s="1">
        <v>46063</v>
      </c>
      <c r="Z239" s="2">
        <v>1497.8</v>
      </c>
      <c r="AA239" s="4">
        <f t="shared" si="61"/>
        <v>4.0074806305096785E-4</v>
      </c>
      <c r="AB239">
        <f t="shared" si="69"/>
        <v>18.676869013206367</v>
      </c>
      <c r="AC239">
        <f t="shared" si="62"/>
        <v>1.5322940026963024E-3</v>
      </c>
      <c r="AE239">
        <f t="shared" si="63"/>
        <v>118.76701552128497</v>
      </c>
      <c r="AF239">
        <f t="shared" si="64"/>
        <v>-6.6584332721297823E-4</v>
      </c>
      <c r="AH239">
        <v>1.0054150036341742E-2</v>
      </c>
      <c r="AI239">
        <v>6.9937098048795509E-3</v>
      </c>
      <c r="AJ239">
        <v>2.4659635498838629E-2</v>
      </c>
      <c r="AK239">
        <v>7.2394306539784986E-2</v>
      </c>
      <c r="AL239">
        <v>-5.4373612330703876E-3</v>
      </c>
    </row>
    <row r="240" spans="1:38" x14ac:dyDescent="0.3">
      <c r="A240" s="1">
        <v>46064</v>
      </c>
      <c r="B240">
        <v>994.75</v>
      </c>
      <c r="C240">
        <f t="shared" si="53"/>
        <v>1.6814882960237195E-2</v>
      </c>
      <c r="D240">
        <f t="shared" si="65"/>
        <v>20.832460732984284</v>
      </c>
      <c r="E240">
        <f t="shared" si="54"/>
        <v>1.5756206943175678E-2</v>
      </c>
      <c r="G240" s="1">
        <v>46064</v>
      </c>
      <c r="H240">
        <v>375.65</v>
      </c>
      <c r="I240">
        <f t="shared" si="55"/>
        <v>1.5407487498310552E-2</v>
      </c>
      <c r="J240">
        <f t="shared" si="66"/>
        <v>28.450043693562467</v>
      </c>
      <c r="K240">
        <f t="shared" si="56"/>
        <v>1.4886509504310474E-2</v>
      </c>
      <c r="M240" s="1">
        <v>46064</v>
      </c>
      <c r="N240" s="2">
        <v>12969</v>
      </c>
      <c r="O240">
        <f t="shared" si="57"/>
        <v>-4.1465100207325502E-3</v>
      </c>
      <c r="P240">
        <f t="shared" si="67"/>
        <v>17.378644958435647</v>
      </c>
      <c r="Q240">
        <f t="shared" si="58"/>
        <v>-5.1117762669025662E-3</v>
      </c>
      <c r="S240" s="1">
        <v>46064</v>
      </c>
      <c r="T240" s="2">
        <v>1182.9000000000001</v>
      </c>
      <c r="U240">
        <f t="shared" si="59"/>
        <v>3.3913119482562877E-2</v>
      </c>
      <c r="V240">
        <f t="shared" si="68"/>
        <v>35.290382156556319</v>
      </c>
      <c r="W240">
        <f t="shared" si="60"/>
        <v>3.166376510711915E-2</v>
      </c>
      <c r="Y240" s="1">
        <v>46064</v>
      </c>
      <c r="Z240" s="2">
        <v>1471.9</v>
      </c>
      <c r="AA240" s="4">
        <f t="shared" si="61"/>
        <v>-1.7292028308185249E-2</v>
      </c>
      <c r="AB240">
        <f t="shared" si="69"/>
        <v>18.353908065521736</v>
      </c>
      <c r="AC240">
        <f t="shared" si="62"/>
        <v>-1.6160482368539914E-2</v>
      </c>
      <c r="AE240">
        <f t="shared" si="63"/>
        <v>120.30543960706045</v>
      </c>
      <c r="AF240">
        <f t="shared" si="64"/>
        <v>1.2953294136617943E-2</v>
      </c>
      <c r="AH240">
        <v>-5.4854810849900987E-3</v>
      </c>
      <c r="AI240">
        <v>2.8693122148417995E-3</v>
      </c>
      <c r="AJ240">
        <v>-2.8812686986531555E-3</v>
      </c>
      <c r="AK240">
        <v>-3.9072950386200714E-3</v>
      </c>
      <c r="AL240">
        <v>1.5322940026963024E-3</v>
      </c>
    </row>
    <row r="241" spans="1:38" x14ac:dyDescent="0.3">
      <c r="A241" s="1">
        <v>46065</v>
      </c>
      <c r="B241">
        <v>997.65</v>
      </c>
      <c r="C241">
        <f t="shared" si="53"/>
        <v>2.9153053531037719E-3</v>
      </c>
      <c r="D241">
        <f t="shared" si="65"/>
        <v>20.893193717277477</v>
      </c>
      <c r="E241">
        <f t="shared" si="54"/>
        <v>1.8566293360422568E-3</v>
      </c>
      <c r="G241" s="1">
        <v>46065</v>
      </c>
      <c r="H241">
        <v>380.55</v>
      </c>
      <c r="I241">
        <f t="shared" si="55"/>
        <v>1.304405696792236E-2</v>
      </c>
      <c r="J241">
        <f t="shared" si="66"/>
        <v>28.821147684241179</v>
      </c>
      <c r="K241">
        <f t="shared" si="56"/>
        <v>1.2523078973922283E-2</v>
      </c>
      <c r="M241" s="1">
        <v>46065</v>
      </c>
      <c r="N241" s="2">
        <v>13029</v>
      </c>
      <c r="O241">
        <f t="shared" si="57"/>
        <v>4.6264168401572983E-3</v>
      </c>
      <c r="P241">
        <f t="shared" si="67"/>
        <v>17.459045814130469</v>
      </c>
      <c r="Q241">
        <f t="shared" si="58"/>
        <v>3.6611505939872823E-3</v>
      </c>
      <c r="S241" s="1">
        <v>46065</v>
      </c>
      <c r="T241" s="2">
        <v>1192.4000000000001</v>
      </c>
      <c r="U241">
        <f t="shared" si="59"/>
        <v>8.03110998393778E-3</v>
      </c>
      <c r="V241">
        <f t="shared" si="68"/>
        <v>35.573803097030819</v>
      </c>
      <c r="W241">
        <f t="shared" si="60"/>
        <v>5.7817556084940533E-3</v>
      </c>
      <c r="Y241" s="1">
        <v>46065</v>
      </c>
      <c r="Z241" s="2">
        <v>1386</v>
      </c>
      <c r="AA241" s="4">
        <f t="shared" si="61"/>
        <v>-5.8359942930905691E-2</v>
      </c>
      <c r="AB241">
        <f t="shared" si="69"/>
        <v>17.282775038258798</v>
      </c>
      <c r="AC241">
        <f t="shared" si="62"/>
        <v>-5.7228396991260359E-2</v>
      </c>
      <c r="AE241">
        <f t="shared" si="63"/>
        <v>120.02996535093874</v>
      </c>
      <c r="AF241">
        <f t="shared" si="64"/>
        <v>-2.2897905283539854E-3</v>
      </c>
      <c r="AH241">
        <v>1.5756206943175678E-2</v>
      </c>
      <c r="AI241">
        <v>1.4886509504310474E-2</v>
      </c>
      <c r="AJ241">
        <v>-5.1117762669025662E-3</v>
      </c>
      <c r="AK241">
        <v>3.166376510711915E-2</v>
      </c>
      <c r="AL241">
        <v>-1.6160482368539914E-2</v>
      </c>
    </row>
    <row r="242" spans="1:38" x14ac:dyDescent="0.3">
      <c r="A242" s="1">
        <v>46066</v>
      </c>
      <c r="B242">
        <v>950.5</v>
      </c>
      <c r="C242">
        <f t="shared" si="53"/>
        <v>-4.7261063499223155E-2</v>
      </c>
      <c r="D242">
        <f t="shared" si="65"/>
        <v>19.905759162303653</v>
      </c>
      <c r="E242">
        <f t="shared" si="54"/>
        <v>-4.8319739516284668E-2</v>
      </c>
      <c r="G242" s="1">
        <v>46066</v>
      </c>
      <c r="H242">
        <v>374.1</v>
      </c>
      <c r="I242">
        <f t="shared" si="55"/>
        <v>-1.694915254237285E-2</v>
      </c>
      <c r="J242">
        <f t="shared" si="66"/>
        <v>28.33265365569472</v>
      </c>
      <c r="K242">
        <f t="shared" si="56"/>
        <v>-1.7470130536372929E-2</v>
      </c>
      <c r="M242" s="1">
        <v>46066</v>
      </c>
      <c r="N242" s="2">
        <v>12963</v>
      </c>
      <c r="O242">
        <f t="shared" si="57"/>
        <v>-5.0656228413539029E-3</v>
      </c>
      <c r="P242">
        <f t="shared" si="67"/>
        <v>17.370604872866167</v>
      </c>
      <c r="Q242">
        <f t="shared" si="58"/>
        <v>-6.0308890875239189E-3</v>
      </c>
      <c r="S242" s="1">
        <v>46066</v>
      </c>
      <c r="T242" s="2">
        <v>1198.5999999999999</v>
      </c>
      <c r="U242">
        <f t="shared" si="59"/>
        <v>5.1995974505198066E-3</v>
      </c>
      <c r="V242">
        <f t="shared" si="68"/>
        <v>35.758772552919439</v>
      </c>
      <c r="W242">
        <f t="shared" si="60"/>
        <v>2.9502430750760799E-3</v>
      </c>
      <c r="Y242" s="1">
        <v>46066</v>
      </c>
      <c r="Z242" s="2">
        <v>1369.1</v>
      </c>
      <c r="AA242" s="4">
        <f t="shared" si="61"/>
        <v>-1.2193362193362259E-2</v>
      </c>
      <c r="AB242">
        <f t="shared" si="69"/>
        <v>17.072039902510909</v>
      </c>
      <c r="AC242">
        <f t="shared" si="62"/>
        <v>-1.1061816253716925E-2</v>
      </c>
      <c r="AE242">
        <f t="shared" si="63"/>
        <v>118.43983014629488</v>
      </c>
      <c r="AF242">
        <f t="shared" si="64"/>
        <v>-1.3247818575925496E-2</v>
      </c>
      <c r="AH242">
        <v>1.8566293360422568E-3</v>
      </c>
      <c r="AI242">
        <v>1.2523078973922283E-2</v>
      </c>
      <c r="AJ242">
        <v>3.6611505939872823E-3</v>
      </c>
      <c r="AK242">
        <v>5.7817556084940533E-3</v>
      </c>
      <c r="AL242">
        <v>-5.7228396991260359E-2</v>
      </c>
    </row>
    <row r="243" spans="1:38" x14ac:dyDescent="0.3">
      <c r="A243" s="1">
        <v>46069</v>
      </c>
      <c r="B243">
        <v>991.25</v>
      </c>
      <c r="C243">
        <f t="shared" si="53"/>
        <v>4.2872172540768014E-2</v>
      </c>
      <c r="D243">
        <f t="shared" si="65"/>
        <v>20.759162303664908</v>
      </c>
      <c r="E243">
        <f t="shared" si="54"/>
        <v>4.18134965237065E-2</v>
      </c>
      <c r="G243" s="1">
        <v>46069</v>
      </c>
      <c r="H243">
        <v>382.1</v>
      </c>
      <c r="I243">
        <f t="shared" si="55"/>
        <v>2.1384656508954825E-2</v>
      </c>
      <c r="J243">
        <f t="shared" si="66"/>
        <v>28.938537722108936</v>
      </c>
      <c r="K243">
        <f t="shared" si="56"/>
        <v>2.0863678514954746E-2</v>
      </c>
      <c r="M243" s="1">
        <v>46069</v>
      </c>
      <c r="N243" s="2">
        <v>12981</v>
      </c>
      <c r="O243">
        <f t="shared" si="57"/>
        <v>1.388567461235825E-3</v>
      </c>
      <c r="P243">
        <f t="shared" si="67"/>
        <v>17.394725129574613</v>
      </c>
      <c r="Q243">
        <f t="shared" si="58"/>
        <v>4.2330121506580875E-4</v>
      </c>
      <c r="S243" s="1">
        <v>46069</v>
      </c>
      <c r="T243" s="2">
        <v>1208.0999999999999</v>
      </c>
      <c r="U243">
        <f t="shared" si="59"/>
        <v>7.9259135658267983E-3</v>
      </c>
      <c r="V243">
        <f t="shared" si="68"/>
        <v>36.042193493393938</v>
      </c>
      <c r="W243">
        <f t="shared" si="60"/>
        <v>5.6765591903830716E-3</v>
      </c>
      <c r="Y243" s="1">
        <v>46069</v>
      </c>
      <c r="Z243" s="2">
        <v>1365.6</v>
      </c>
      <c r="AA243" s="4">
        <f t="shared" si="61"/>
        <v>-2.5564239281279677E-3</v>
      </c>
      <c r="AB243">
        <f t="shared" si="69"/>
        <v>17.028396531202176</v>
      </c>
      <c r="AC243">
        <f t="shared" si="62"/>
        <v>-1.4248779884826332E-3</v>
      </c>
      <c r="AE243">
        <f t="shared" si="63"/>
        <v>120.16301517994457</v>
      </c>
      <c r="AF243">
        <f t="shared" si="64"/>
        <v>1.4549033306795911E-2</v>
      </c>
      <c r="AH243">
        <v>-4.8319739516284668E-2</v>
      </c>
      <c r="AI243">
        <v>-1.7470130536372929E-2</v>
      </c>
      <c r="AJ243">
        <v>-6.0308890875239189E-3</v>
      </c>
      <c r="AK243">
        <v>2.9502430750760799E-3</v>
      </c>
      <c r="AL243">
        <v>-1.1061816253716925E-2</v>
      </c>
    </row>
    <row r="244" spans="1:38" x14ac:dyDescent="0.3">
      <c r="A244" s="1">
        <v>46070</v>
      </c>
      <c r="B244" s="2">
        <v>1016.8</v>
      </c>
      <c r="C244">
        <f t="shared" si="53"/>
        <v>2.577553593947032E-2</v>
      </c>
      <c r="D244">
        <f t="shared" si="65"/>
        <v>21.294240837696318</v>
      </c>
      <c r="E244">
        <f t="shared" si="54"/>
        <v>2.4716859922408803E-2</v>
      </c>
      <c r="G244" s="1">
        <v>46070</v>
      </c>
      <c r="H244">
        <v>378.4</v>
      </c>
      <c r="I244">
        <f t="shared" si="55"/>
        <v>-9.6833289714735541E-3</v>
      </c>
      <c r="J244">
        <f t="shared" si="66"/>
        <v>28.658316341392361</v>
      </c>
      <c r="K244">
        <f t="shared" si="56"/>
        <v>-1.0204306965473631E-2</v>
      </c>
      <c r="M244" s="1">
        <v>46070</v>
      </c>
      <c r="N244" s="2">
        <v>12984</v>
      </c>
      <c r="O244">
        <f t="shared" si="57"/>
        <v>2.3110700254217703E-4</v>
      </c>
      <c r="P244">
        <f t="shared" si="67"/>
        <v>17.398745172359355</v>
      </c>
      <c r="Q244">
        <f t="shared" si="58"/>
        <v>-7.3415924362783922E-4</v>
      </c>
      <c r="S244" s="1">
        <v>46070</v>
      </c>
      <c r="T244" s="2">
        <v>1213.4000000000001</v>
      </c>
      <c r="U244">
        <f t="shared" si="59"/>
        <v>4.3870540518170537E-3</v>
      </c>
      <c r="V244">
        <f t="shared" si="68"/>
        <v>36.200312544395508</v>
      </c>
      <c r="W244">
        <f t="shared" si="60"/>
        <v>2.137699676373327E-3</v>
      </c>
      <c r="Y244" s="1">
        <v>46070</v>
      </c>
      <c r="Z244" s="2">
        <v>1391.2</v>
      </c>
      <c r="AA244" s="4">
        <f t="shared" si="61"/>
        <v>1.8746338605741167E-2</v>
      </c>
      <c r="AB244">
        <f t="shared" si="69"/>
        <v>17.347616618488921</v>
      </c>
      <c r="AC244">
        <f t="shared" si="62"/>
        <v>1.9877884545386502E-2</v>
      </c>
      <c r="AE244">
        <f t="shared" si="63"/>
        <v>120.89923151433247</v>
      </c>
      <c r="AF244">
        <f t="shared" si="64"/>
        <v>6.1268130904124085E-3</v>
      </c>
      <c r="AH244">
        <v>4.18134965237065E-2</v>
      </c>
      <c r="AI244">
        <v>2.0863678514954746E-2</v>
      </c>
      <c r="AJ244">
        <v>4.2330121506580875E-4</v>
      </c>
      <c r="AK244">
        <v>5.6765591903830716E-3</v>
      </c>
      <c r="AL244">
        <v>-1.4248779884826332E-3</v>
      </c>
    </row>
    <row r="245" spans="1:38" x14ac:dyDescent="0.3">
      <c r="A245" s="1">
        <v>46071</v>
      </c>
      <c r="B245" s="2">
        <v>1000.1</v>
      </c>
      <c r="C245">
        <f t="shared" si="53"/>
        <v>-1.6424075531077824E-2</v>
      </c>
      <c r="D245">
        <f t="shared" si="65"/>
        <v>20.944502617801032</v>
      </c>
      <c r="E245">
        <f t="shared" si="54"/>
        <v>-1.7482751548139337E-2</v>
      </c>
      <c r="G245" s="1">
        <v>46071</v>
      </c>
      <c r="H245">
        <v>379.6</v>
      </c>
      <c r="I245">
        <f t="shared" si="55"/>
        <v>3.1712473572939894E-3</v>
      </c>
      <c r="J245">
        <f t="shared" si="66"/>
        <v>28.749198951354497</v>
      </c>
      <c r="K245">
        <f t="shared" si="56"/>
        <v>2.6502693632939117E-3</v>
      </c>
      <c r="M245" s="1">
        <v>46071</v>
      </c>
      <c r="N245" s="2">
        <v>13052</v>
      </c>
      <c r="O245">
        <f t="shared" si="57"/>
        <v>5.2372150338878621E-3</v>
      </c>
      <c r="P245">
        <f t="shared" si="67"/>
        <v>17.48986614214682</v>
      </c>
      <c r="Q245">
        <f t="shared" si="58"/>
        <v>4.2719487877178461E-3</v>
      </c>
      <c r="S245" s="1">
        <v>46071</v>
      </c>
      <c r="T245" s="2">
        <v>1218.9000000000001</v>
      </c>
      <c r="U245">
        <f t="shared" si="59"/>
        <v>4.5327179825284322E-3</v>
      </c>
      <c r="V245">
        <f t="shared" si="68"/>
        <v>36.364398352038641</v>
      </c>
      <c r="W245">
        <f t="shared" si="60"/>
        <v>2.2833636070847055E-3</v>
      </c>
      <c r="Y245" s="1">
        <v>46071</v>
      </c>
      <c r="Z245" s="2">
        <v>1373.7</v>
      </c>
      <c r="AA245" s="4">
        <f t="shared" si="61"/>
        <v>-1.257906843013226E-2</v>
      </c>
      <c r="AB245">
        <f t="shared" si="69"/>
        <v>17.129399761945251</v>
      </c>
      <c r="AC245">
        <f t="shared" si="62"/>
        <v>-1.1447522490486925E-2</v>
      </c>
      <c r="AE245">
        <f t="shared" si="63"/>
        <v>120.67736582528624</v>
      </c>
      <c r="AF245">
        <f t="shared" si="64"/>
        <v>-1.83512902660532E-3</v>
      </c>
      <c r="AH245">
        <v>2.4716859922408803E-2</v>
      </c>
      <c r="AI245">
        <v>-1.0204306965473631E-2</v>
      </c>
      <c r="AJ245">
        <v>-7.3415924362783922E-4</v>
      </c>
      <c r="AK245">
        <v>2.137699676373327E-3</v>
      </c>
      <c r="AL245">
        <v>1.9877884545386502E-2</v>
      </c>
    </row>
    <row r="246" spans="1:38" x14ac:dyDescent="0.3">
      <c r="A246" s="1">
        <v>46072</v>
      </c>
      <c r="B246">
        <v>976.5</v>
      </c>
      <c r="C246">
        <f t="shared" si="53"/>
        <v>-2.3597640235976425E-2</v>
      </c>
      <c r="D246">
        <f t="shared" si="65"/>
        <v>20.450261780104697</v>
      </c>
      <c r="E246">
        <f t="shared" si="54"/>
        <v>-2.4656316253037942E-2</v>
      </c>
      <c r="G246" s="1">
        <v>46072</v>
      </c>
      <c r="H246">
        <v>369.3</v>
      </c>
      <c r="I246">
        <f t="shared" si="55"/>
        <v>-2.7133825079030588E-2</v>
      </c>
      <c r="J246">
        <f t="shared" si="66"/>
        <v>27.969123215846192</v>
      </c>
      <c r="K246">
        <f t="shared" si="56"/>
        <v>-2.7654803073030667E-2</v>
      </c>
      <c r="M246" s="1">
        <v>46072</v>
      </c>
      <c r="N246" s="2">
        <v>12688</v>
      </c>
      <c r="O246">
        <f t="shared" si="57"/>
        <v>-2.7888446215139442E-2</v>
      </c>
      <c r="P246">
        <f t="shared" si="67"/>
        <v>17.00210095093157</v>
      </c>
      <c r="Q246">
        <f t="shared" si="58"/>
        <v>-2.8853712461309459E-2</v>
      </c>
      <c r="S246" s="1">
        <v>46072</v>
      </c>
      <c r="T246" s="2">
        <v>1205.7</v>
      </c>
      <c r="U246">
        <f t="shared" si="59"/>
        <v>-1.0829436377061321E-2</v>
      </c>
      <c r="V246">
        <f t="shared" si="68"/>
        <v>35.970592413695123</v>
      </c>
      <c r="W246">
        <f t="shared" si="60"/>
        <v>-1.3078790752505048E-2</v>
      </c>
      <c r="Y246" s="1">
        <v>46072</v>
      </c>
      <c r="Z246" s="2">
        <v>1370.5</v>
      </c>
      <c r="AA246" s="4">
        <f t="shared" si="61"/>
        <v>-2.329475140132522E-3</v>
      </c>
      <c r="AB246">
        <f t="shared" si="69"/>
        <v>17.089497251034409</v>
      </c>
      <c r="AC246">
        <f t="shared" si="62"/>
        <v>-1.1979292004871875E-3</v>
      </c>
      <c r="AE246">
        <f t="shared" si="63"/>
        <v>118.481575611612</v>
      </c>
      <c r="AF246">
        <f t="shared" si="64"/>
        <v>-1.8195543121592994E-2</v>
      </c>
      <c r="AH246">
        <v>-1.7482751548139337E-2</v>
      </c>
      <c r="AI246">
        <v>2.6502693632939117E-3</v>
      </c>
      <c r="AJ246">
        <v>4.2719487877178461E-3</v>
      </c>
      <c r="AK246">
        <v>2.2833636070847055E-3</v>
      </c>
      <c r="AL246">
        <v>-1.1447522490486925E-2</v>
      </c>
    </row>
    <row r="247" spans="1:38" x14ac:dyDescent="0.3">
      <c r="A247" s="1">
        <v>46073</v>
      </c>
      <c r="B247">
        <v>968.25</v>
      </c>
      <c r="C247">
        <f t="shared" si="53"/>
        <v>-8.4485407066052232E-3</v>
      </c>
      <c r="D247">
        <f t="shared" si="65"/>
        <v>20.27748691099475</v>
      </c>
      <c r="E247">
        <f t="shared" si="54"/>
        <v>-9.5072167236667383E-3</v>
      </c>
      <c r="G247" s="1">
        <v>46073</v>
      </c>
      <c r="H247">
        <v>378</v>
      </c>
      <c r="I247">
        <f t="shared" si="55"/>
        <v>2.3558082859463821E-2</v>
      </c>
      <c r="J247">
        <f t="shared" si="66"/>
        <v>28.628022138071653</v>
      </c>
      <c r="K247">
        <f t="shared" si="56"/>
        <v>2.3037104865463742E-2</v>
      </c>
      <c r="M247" s="1">
        <v>46073</v>
      </c>
      <c r="N247" s="2">
        <v>12766</v>
      </c>
      <c r="O247">
        <f t="shared" si="57"/>
        <v>6.1475409836065573E-3</v>
      </c>
      <c r="P247">
        <f t="shared" si="67"/>
        <v>17.106622063334836</v>
      </c>
      <c r="Q247">
        <f t="shared" si="58"/>
        <v>5.1822747374365413E-3</v>
      </c>
      <c r="S247" s="1">
        <v>46073</v>
      </c>
      <c r="T247" s="2">
        <v>1216.0999999999999</v>
      </c>
      <c r="U247">
        <f t="shared" si="59"/>
        <v>8.6256946172346884E-3</v>
      </c>
      <c r="V247">
        <f t="shared" si="68"/>
        <v>36.280863759056679</v>
      </c>
      <c r="W247">
        <f t="shared" si="60"/>
        <v>6.3763402417909617E-3</v>
      </c>
      <c r="Y247" s="1">
        <v>46073</v>
      </c>
      <c r="Z247" s="2">
        <v>1353.2</v>
      </c>
      <c r="AA247" s="4">
        <f t="shared" si="61"/>
        <v>-1.2623130244436304E-2</v>
      </c>
      <c r="AB247">
        <f t="shared" si="69"/>
        <v>16.873774301422667</v>
      </c>
      <c r="AC247">
        <f t="shared" si="62"/>
        <v>-1.1491584304790969E-2</v>
      </c>
      <c r="AE247">
        <f t="shared" si="63"/>
        <v>119.16676917288059</v>
      </c>
      <c r="AF247">
        <f t="shared" si="64"/>
        <v>5.7831233061476084E-3</v>
      </c>
      <c r="AH247">
        <v>-2.4656316253037942E-2</v>
      </c>
      <c r="AI247">
        <v>-2.7654803073030667E-2</v>
      </c>
      <c r="AJ247">
        <v>-2.8853712461309459E-2</v>
      </c>
      <c r="AK247">
        <v>-1.3078790752505048E-2</v>
      </c>
      <c r="AL247">
        <v>-1.1979292004871875E-3</v>
      </c>
    </row>
    <row r="248" spans="1:38" x14ac:dyDescent="0.3">
      <c r="A248" s="1">
        <v>46076</v>
      </c>
      <c r="B248">
        <v>970.35</v>
      </c>
      <c r="C248">
        <f t="shared" si="53"/>
        <v>2.1688613477924327E-3</v>
      </c>
      <c r="D248">
        <f t="shared" si="65"/>
        <v>20.32146596858637</v>
      </c>
      <c r="E248">
        <f t="shared" si="54"/>
        <v>1.1101853307309176E-3</v>
      </c>
      <c r="G248" s="1">
        <v>46076</v>
      </c>
      <c r="H248">
        <v>379.25</v>
      </c>
      <c r="I248">
        <f t="shared" si="55"/>
        <v>3.3068783068783067E-3</v>
      </c>
      <c r="J248">
        <f t="shared" si="66"/>
        <v>28.722691523448876</v>
      </c>
      <c r="K248">
        <f t="shared" si="56"/>
        <v>2.785900312878229E-3</v>
      </c>
      <c r="M248" s="1">
        <v>46076</v>
      </c>
      <c r="N248" s="2">
        <v>12976</v>
      </c>
      <c r="O248">
        <f t="shared" si="57"/>
        <v>1.6449945166849445E-2</v>
      </c>
      <c r="P248">
        <f t="shared" si="67"/>
        <v>17.38802505826671</v>
      </c>
      <c r="Q248">
        <f t="shared" si="58"/>
        <v>1.5484678920679429E-2</v>
      </c>
      <c r="S248" s="1">
        <v>46076</v>
      </c>
      <c r="T248" s="2">
        <v>1227.8</v>
      </c>
      <c r="U248">
        <f t="shared" si="59"/>
        <v>9.6209193322917899E-3</v>
      </c>
      <c r="V248">
        <f t="shared" si="68"/>
        <v>36.629919022588432</v>
      </c>
      <c r="W248">
        <f t="shared" si="60"/>
        <v>7.3715649568480632E-3</v>
      </c>
      <c r="Y248" s="1">
        <v>46076</v>
      </c>
      <c r="Z248" s="2">
        <v>1327.5</v>
      </c>
      <c r="AA248" s="4">
        <f t="shared" si="61"/>
        <v>-1.8992018918120045E-2</v>
      </c>
      <c r="AB248">
        <f t="shared" si="69"/>
        <v>16.55330726066996</v>
      </c>
      <c r="AC248">
        <f t="shared" si="62"/>
        <v>-1.786047297847471E-2</v>
      </c>
      <c r="AE248">
        <f t="shared" si="63"/>
        <v>119.61540883356034</v>
      </c>
      <c r="AF248">
        <f t="shared" si="64"/>
        <v>3.7648051029133267E-3</v>
      </c>
      <c r="AH248">
        <v>-9.5072167236667383E-3</v>
      </c>
      <c r="AI248">
        <v>2.3037104865463742E-2</v>
      </c>
      <c r="AJ248">
        <v>5.1822747374365413E-3</v>
      </c>
      <c r="AK248">
        <v>6.3763402417909617E-3</v>
      </c>
      <c r="AL248">
        <v>-1.1491584304790969E-2</v>
      </c>
    </row>
    <row r="249" spans="1:38" x14ac:dyDescent="0.3">
      <c r="A249" s="1">
        <v>46077</v>
      </c>
      <c r="B249">
        <v>981.35</v>
      </c>
      <c r="C249">
        <f t="shared" si="53"/>
        <v>1.1336115834492708E-2</v>
      </c>
      <c r="D249">
        <f t="shared" si="65"/>
        <v>20.551832460732967</v>
      </c>
      <c r="E249">
        <f t="shared" si="54"/>
        <v>1.0277439817431193E-2</v>
      </c>
      <c r="G249" s="1">
        <v>46077</v>
      </c>
      <c r="H249">
        <v>379.75</v>
      </c>
      <c r="I249">
        <f t="shared" si="55"/>
        <v>1.3183915622940012E-3</v>
      </c>
      <c r="J249">
        <f t="shared" si="66"/>
        <v>28.760559277599768</v>
      </c>
      <c r="K249">
        <f t="shared" si="56"/>
        <v>7.9741356829392349E-4</v>
      </c>
      <c r="M249" s="1">
        <v>46077</v>
      </c>
      <c r="N249" s="2">
        <v>12960</v>
      </c>
      <c r="O249">
        <f t="shared" si="57"/>
        <v>-1.2330456226880395E-3</v>
      </c>
      <c r="P249">
        <f t="shared" si="67"/>
        <v>17.366584830081425</v>
      </c>
      <c r="Q249">
        <f t="shared" si="58"/>
        <v>-2.1983118688580555E-3</v>
      </c>
      <c r="S249" s="1">
        <v>46077</v>
      </c>
      <c r="T249" s="2">
        <v>1223.3</v>
      </c>
      <c r="U249">
        <f t="shared" si="59"/>
        <v>-3.6650920345333115E-3</v>
      </c>
      <c r="V249">
        <f t="shared" si="68"/>
        <v>36.495666998153141</v>
      </c>
      <c r="W249">
        <f t="shared" si="60"/>
        <v>-5.9144464099770387E-3</v>
      </c>
      <c r="Y249" s="1">
        <v>46077</v>
      </c>
      <c r="Z249" s="2">
        <v>1275.5</v>
      </c>
      <c r="AA249" s="4">
        <f t="shared" si="61"/>
        <v>-3.9171374764595104E-2</v>
      </c>
      <c r="AB249">
        <f t="shared" si="69"/>
        <v>15.904891458368764</v>
      </c>
      <c r="AC249">
        <f t="shared" si="62"/>
        <v>-3.8039828824949773E-2</v>
      </c>
      <c r="AE249">
        <f t="shared" si="63"/>
        <v>119.07953502493606</v>
      </c>
      <c r="AF249">
        <f t="shared" si="64"/>
        <v>-4.4799730557283368E-3</v>
      </c>
      <c r="AH249">
        <v>1.1101853307309176E-3</v>
      </c>
      <c r="AI249">
        <v>2.785900312878229E-3</v>
      </c>
      <c r="AJ249">
        <v>1.5484678920679429E-2</v>
      </c>
      <c r="AK249">
        <v>7.3715649568480632E-3</v>
      </c>
      <c r="AL249">
        <v>-1.786047297847471E-2</v>
      </c>
    </row>
    <row r="250" spans="1:38" x14ac:dyDescent="0.3">
      <c r="A250" s="1">
        <v>46078</v>
      </c>
      <c r="B250">
        <v>964.15</v>
      </c>
      <c r="C250">
        <f t="shared" si="53"/>
        <v>-1.7526876241911699E-2</v>
      </c>
      <c r="D250">
        <f t="shared" si="65"/>
        <v>20.191623036649197</v>
      </c>
      <c r="E250">
        <f t="shared" si="54"/>
        <v>-1.8585552258973216E-2</v>
      </c>
      <c r="G250" s="1">
        <v>46078</v>
      </c>
      <c r="H250">
        <v>381.25</v>
      </c>
      <c r="I250">
        <f t="shared" si="55"/>
        <v>3.9499670836076368E-3</v>
      </c>
      <c r="J250">
        <f t="shared" si="66"/>
        <v>28.874162540052431</v>
      </c>
      <c r="K250">
        <f t="shared" si="56"/>
        <v>3.4289890896075591E-3</v>
      </c>
      <c r="M250" s="1">
        <v>46078</v>
      </c>
      <c r="N250" s="2">
        <v>13041</v>
      </c>
      <c r="O250">
        <f t="shared" si="57"/>
        <v>6.2500000000000003E-3</v>
      </c>
      <c r="P250">
        <f t="shared" si="67"/>
        <v>17.475125985269436</v>
      </c>
      <c r="Q250">
        <f t="shared" si="58"/>
        <v>5.2847337538299843E-3</v>
      </c>
      <c r="S250" s="1">
        <v>46078</v>
      </c>
      <c r="T250" s="2">
        <v>1200.0999999999999</v>
      </c>
      <c r="U250">
        <f t="shared" si="59"/>
        <v>-1.896509441674164E-2</v>
      </c>
      <c r="V250">
        <f t="shared" si="68"/>
        <v>35.803523227731205</v>
      </c>
      <c r="W250">
        <f t="shared" si="60"/>
        <v>-2.1214448792185366E-2</v>
      </c>
      <c r="Y250" s="1">
        <v>46078</v>
      </c>
      <c r="Z250" s="2">
        <v>1290.0999999999999</v>
      </c>
      <c r="AA250" s="4">
        <f t="shared" si="61"/>
        <v>1.1446491571932504E-2</v>
      </c>
      <c r="AB250">
        <f t="shared" si="69"/>
        <v>16.086946664399484</v>
      </c>
      <c r="AC250">
        <f t="shared" si="62"/>
        <v>1.2578037511577839E-2</v>
      </c>
      <c r="AE250">
        <f t="shared" si="63"/>
        <v>118.43138145410174</v>
      </c>
      <c r="AF250">
        <f t="shared" si="64"/>
        <v>-5.4430307499823138E-3</v>
      </c>
      <c r="AH250">
        <v>1.0277439817431193E-2</v>
      </c>
      <c r="AI250">
        <v>7.9741356829392349E-4</v>
      </c>
      <c r="AJ250">
        <v>-2.1983118688580555E-3</v>
      </c>
      <c r="AK250">
        <v>-5.9144464099770387E-3</v>
      </c>
      <c r="AL250">
        <v>-3.8039828824949773E-2</v>
      </c>
    </row>
    <row r="251" spans="1:38" x14ac:dyDescent="0.3">
      <c r="A251" s="1"/>
      <c r="G251" s="1"/>
      <c r="AA251" s="4"/>
      <c r="AH251">
        <v>-1.8585552258973216E-2</v>
      </c>
      <c r="AI251">
        <v>3.4289890896075591E-3</v>
      </c>
      <c r="AJ251">
        <v>5.2847337538299843E-3</v>
      </c>
      <c r="AK251">
        <v>-2.1214448792185366E-2</v>
      </c>
      <c r="AL251">
        <v>1.2578037511577839E-2</v>
      </c>
    </row>
    <row r="252" spans="1:38" x14ac:dyDescent="0.3">
      <c r="B252" t="s">
        <v>19</v>
      </c>
      <c r="C252">
        <f>AVERAGE(C5:C250)</f>
        <v>1.0586760170615151E-3</v>
      </c>
      <c r="I252">
        <f>AVERAGE(I5:I250)</f>
        <v>5.2097799400007772E-4</v>
      </c>
      <c r="O252">
        <f>AVERAGE(O5:O250)</f>
        <v>9.6526624617001623E-4</v>
      </c>
      <c r="U252">
        <f>AVERAGE(U5:U250)</f>
        <v>2.2493543754437267E-3</v>
      </c>
      <c r="AA252" s="4">
        <f>AVERAGE(AA5:AA250)</f>
        <v>-1.1315459396453345E-3</v>
      </c>
    </row>
    <row r="253" spans="1:38" x14ac:dyDescent="0.3">
      <c r="AA253" s="4"/>
    </row>
    <row r="254" spans="1:38" x14ac:dyDescent="0.3">
      <c r="AA254" s="4"/>
    </row>
    <row r="255" spans="1:38" x14ac:dyDescent="0.3">
      <c r="AA255" s="4"/>
    </row>
    <row r="256" spans="1:38" x14ac:dyDescent="0.3">
      <c r="AA256" s="4"/>
    </row>
    <row r="257" spans="27:27" x14ac:dyDescent="0.3">
      <c r="AA257" s="4"/>
    </row>
  </sheetData>
  <conditionalFormatting sqref="A4:A251">
    <cfRule type="duplicateValues" dxfId="2" priority="3"/>
  </conditionalFormatting>
  <conditionalFormatting sqref="S4:S250">
    <cfRule type="duplicateValues" dxfId="1" priority="16"/>
  </conditionalFormatting>
  <conditionalFormatting sqref="Y4:Y250">
    <cfRule type="duplicateValues" dxfId="0" priority="20"/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Brown Stocks</vt:lpstr>
      <vt:lpstr>Green Stocks</vt:lpstr>
      <vt:lpstr>Mix 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Yadav</dc:creator>
  <cp:lastModifiedBy>VIJAY CHANDER</cp:lastModifiedBy>
  <dcterms:created xsi:type="dcterms:W3CDTF">2026-02-26T09:14:18Z</dcterms:created>
  <dcterms:modified xsi:type="dcterms:W3CDTF">2026-02-28T17:20:29Z</dcterms:modified>
</cp:coreProperties>
</file>